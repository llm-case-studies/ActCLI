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4.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6.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7.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8.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9.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10.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drawings/drawing11.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drawings/drawing12.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13.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drawings/drawing14.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BVazquez\Desktop\WIRFC Tech Assistance\COVID-19\COVID Financial Tool\"/>
    </mc:Choice>
  </mc:AlternateContent>
  <xr:revisionPtr revIDLastSave="0" documentId="8_{DECA1DCD-4C3C-45DB-9A8A-2553E1F052D5}" xr6:coauthVersionLast="45" xr6:coauthVersionMax="45" xr10:uidLastSave="{00000000-0000-0000-0000-000000000000}"/>
  <bookViews>
    <workbookView xWindow="20370" yWindow="-120" windowWidth="29040" windowHeight="15840" xr2:uid="{D4A2E73A-2CD5-49C3-9393-213DA1F37D96}"/>
  </bookViews>
  <sheets>
    <sheet name="Introduction" sheetId="3" r:id="rId1"/>
    <sheet name="2019 Data" sheetId="38" r:id="rId2"/>
    <sheet name="January" sheetId="1" state="hidden" r:id="rId3"/>
    <sheet name="February" sheetId="27" state="hidden" r:id="rId4"/>
    <sheet name="March" sheetId="28" state="hidden" r:id="rId5"/>
    <sheet name="April" sheetId="29" state="hidden" r:id="rId6"/>
    <sheet name="May" sheetId="30" state="hidden" r:id="rId7"/>
    <sheet name="June" sheetId="31" state="hidden" r:id="rId8"/>
    <sheet name="July" sheetId="32" state="hidden" r:id="rId9"/>
    <sheet name="August" sheetId="33" state="hidden" r:id="rId10"/>
    <sheet name="September" sheetId="34" state="hidden" r:id="rId11"/>
    <sheet name="October" sheetId="35" state="hidden" r:id="rId12"/>
    <sheet name="November" sheetId="36" state="hidden" r:id="rId13"/>
    <sheet name="December" sheetId="37" state="hidden" r:id="rId14"/>
    <sheet name="Questions" sheetId="2" state="hidden" r:id="rId1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2" i="36" l="1"/>
  <c r="F41" i="36"/>
  <c r="F40" i="36"/>
  <c r="F39" i="36"/>
  <c r="F38" i="36"/>
  <c r="F37" i="36"/>
  <c r="F36" i="36"/>
  <c r="F35" i="36"/>
  <c r="F32" i="36"/>
  <c r="F29" i="36"/>
  <c r="F28" i="36"/>
  <c r="F27" i="36"/>
  <c r="F26" i="36"/>
  <c r="F25" i="36"/>
  <c r="F24" i="36"/>
  <c r="F23" i="36"/>
  <c r="F22" i="36"/>
  <c r="F21" i="36"/>
  <c r="F20" i="36"/>
  <c r="F19" i="36"/>
  <c r="F18" i="36"/>
  <c r="F17" i="36"/>
  <c r="F13" i="36"/>
  <c r="F12" i="36"/>
  <c r="F11" i="36"/>
  <c r="F10" i="36"/>
  <c r="F8" i="36"/>
  <c r="F7" i="36"/>
  <c r="F6" i="36"/>
  <c r="F5" i="36"/>
  <c r="F4" i="36"/>
  <c r="F42" i="35"/>
  <c r="F41" i="35"/>
  <c r="F40" i="35"/>
  <c r="F39" i="35"/>
  <c r="F38" i="35"/>
  <c r="F37" i="35"/>
  <c r="F36" i="35"/>
  <c r="F35" i="35"/>
  <c r="F32" i="35"/>
  <c r="F29" i="35"/>
  <c r="F28" i="35"/>
  <c r="F27" i="35"/>
  <c r="F26" i="35"/>
  <c r="F25" i="35"/>
  <c r="F24" i="35"/>
  <c r="F23" i="35"/>
  <c r="F22" i="35"/>
  <c r="F21" i="35"/>
  <c r="F20" i="35"/>
  <c r="F19" i="35"/>
  <c r="F18" i="35"/>
  <c r="F17" i="35"/>
  <c r="F13" i="35"/>
  <c r="F12" i="35"/>
  <c r="F11" i="35"/>
  <c r="F10" i="35"/>
  <c r="F8" i="35"/>
  <c r="F7" i="35"/>
  <c r="F6" i="35"/>
  <c r="F5" i="35"/>
  <c r="F4" i="35"/>
  <c r="F42" i="34"/>
  <c r="F41" i="34"/>
  <c r="F40" i="34"/>
  <c r="F39" i="34"/>
  <c r="F38" i="34"/>
  <c r="F37" i="34"/>
  <c r="F36" i="34"/>
  <c r="F35" i="34"/>
  <c r="F32" i="34"/>
  <c r="F29" i="34"/>
  <c r="F28" i="34"/>
  <c r="F27" i="34"/>
  <c r="F26" i="34"/>
  <c r="F25" i="34"/>
  <c r="F24" i="34"/>
  <c r="F23" i="34"/>
  <c r="F22" i="34"/>
  <c r="F21" i="34"/>
  <c r="F20" i="34"/>
  <c r="F19" i="34"/>
  <c r="F18" i="34"/>
  <c r="F17" i="34"/>
  <c r="F13" i="34"/>
  <c r="F12" i="34"/>
  <c r="F11" i="34"/>
  <c r="F10" i="34"/>
  <c r="F8" i="34"/>
  <c r="F7" i="34"/>
  <c r="F6" i="34"/>
  <c r="F5" i="34"/>
  <c r="F4" i="34"/>
  <c r="F42" i="33"/>
  <c r="F41" i="33"/>
  <c r="F40" i="33"/>
  <c r="F39" i="33"/>
  <c r="F38" i="33"/>
  <c r="F37" i="33"/>
  <c r="F36" i="33"/>
  <c r="F35" i="33"/>
  <c r="F32" i="33"/>
  <c r="F29" i="33"/>
  <c r="F28" i="33"/>
  <c r="F27" i="33"/>
  <c r="F26" i="33"/>
  <c r="F25" i="33"/>
  <c r="F24" i="33"/>
  <c r="F23" i="33"/>
  <c r="F22" i="33"/>
  <c r="F21" i="33"/>
  <c r="F20" i="33"/>
  <c r="F19" i="33"/>
  <c r="F18" i="33"/>
  <c r="F17" i="33"/>
  <c r="F13" i="33"/>
  <c r="F12" i="33"/>
  <c r="F11" i="33"/>
  <c r="F10" i="33"/>
  <c r="F8" i="33"/>
  <c r="F7" i="33"/>
  <c r="F6" i="33"/>
  <c r="F5" i="33"/>
  <c r="F4" i="33"/>
  <c r="F42" i="32"/>
  <c r="F41" i="32"/>
  <c r="F40" i="32"/>
  <c r="F39" i="32"/>
  <c r="F38" i="32"/>
  <c r="F37" i="32"/>
  <c r="F36" i="32"/>
  <c r="F35" i="32"/>
  <c r="F32" i="32"/>
  <c r="E31" i="32"/>
  <c r="F29" i="32"/>
  <c r="F28" i="32"/>
  <c r="F27" i="32"/>
  <c r="F26" i="32"/>
  <c r="F25" i="32"/>
  <c r="F24" i="32"/>
  <c r="F23" i="32"/>
  <c r="F22" i="32"/>
  <c r="F21" i="32"/>
  <c r="F20" i="32"/>
  <c r="F19" i="32"/>
  <c r="F18" i="32"/>
  <c r="F17" i="32"/>
  <c r="F13" i="32"/>
  <c r="F12" i="32"/>
  <c r="F11" i="32"/>
  <c r="F10" i="32"/>
  <c r="F8" i="32"/>
  <c r="F7" i="32"/>
  <c r="F6" i="32"/>
  <c r="F5" i="32"/>
  <c r="F4" i="32"/>
  <c r="F42" i="31"/>
  <c r="F41" i="31"/>
  <c r="F40" i="31"/>
  <c r="F39" i="31"/>
  <c r="F38" i="31"/>
  <c r="F37" i="31"/>
  <c r="F36" i="31"/>
  <c r="F35" i="31"/>
  <c r="F32" i="31"/>
  <c r="F29" i="31"/>
  <c r="F28" i="31"/>
  <c r="F27" i="31"/>
  <c r="F26" i="31"/>
  <c r="F25" i="31"/>
  <c r="F24" i="31"/>
  <c r="F23" i="31"/>
  <c r="F22" i="31"/>
  <c r="F21" i="31"/>
  <c r="F20" i="31"/>
  <c r="F19" i="31"/>
  <c r="F18" i="31"/>
  <c r="F17" i="31"/>
  <c r="F13" i="31"/>
  <c r="F12" i="31"/>
  <c r="F11" i="31"/>
  <c r="F10" i="31"/>
  <c r="F8" i="31"/>
  <c r="F7" i="31"/>
  <c r="F6" i="31"/>
  <c r="F5" i="31"/>
  <c r="F4" i="31"/>
  <c r="F42" i="30"/>
  <c r="F41" i="30"/>
  <c r="F40" i="30"/>
  <c r="F39" i="30"/>
  <c r="F38" i="30"/>
  <c r="F37" i="30"/>
  <c r="F36" i="30"/>
  <c r="F35" i="30"/>
  <c r="F32" i="30"/>
  <c r="F29" i="30"/>
  <c r="F28" i="30"/>
  <c r="F27" i="30"/>
  <c r="F26" i="30"/>
  <c r="F25" i="30"/>
  <c r="F24" i="30"/>
  <c r="F23" i="30"/>
  <c r="F22" i="30"/>
  <c r="F21" i="30"/>
  <c r="F20" i="30"/>
  <c r="F19" i="30"/>
  <c r="F18" i="30"/>
  <c r="F17" i="30"/>
  <c r="F13" i="30"/>
  <c r="F12" i="30"/>
  <c r="F11" i="30"/>
  <c r="F10" i="30"/>
  <c r="F8" i="30"/>
  <c r="F7" i="30"/>
  <c r="F6" i="30"/>
  <c r="F5" i="30"/>
  <c r="F4" i="30"/>
  <c r="E43" i="29"/>
  <c r="F42" i="29"/>
  <c r="F41" i="29"/>
  <c r="F40" i="29"/>
  <c r="F39" i="29"/>
  <c r="F38" i="29"/>
  <c r="F37" i="29"/>
  <c r="F36" i="29"/>
  <c r="F35" i="29"/>
  <c r="F32" i="29"/>
  <c r="F29" i="29"/>
  <c r="F28" i="29"/>
  <c r="F27" i="29"/>
  <c r="F26" i="29"/>
  <c r="F25" i="29"/>
  <c r="F24" i="29"/>
  <c r="F23" i="29"/>
  <c r="F22" i="29"/>
  <c r="F21" i="29"/>
  <c r="F20" i="29"/>
  <c r="F19" i="29"/>
  <c r="F18" i="29"/>
  <c r="F17" i="29"/>
  <c r="F13" i="29"/>
  <c r="F12" i="29"/>
  <c r="F11" i="29"/>
  <c r="F10" i="29"/>
  <c r="F8" i="29"/>
  <c r="F7" i="29"/>
  <c r="F6" i="29"/>
  <c r="F5" i="29"/>
  <c r="F4" i="29"/>
  <c r="F42" i="28"/>
  <c r="F41" i="28"/>
  <c r="F40" i="28"/>
  <c r="F39" i="28"/>
  <c r="F38" i="28"/>
  <c r="F37" i="28"/>
  <c r="F36" i="28"/>
  <c r="F35" i="28"/>
  <c r="F32" i="28"/>
  <c r="F29" i="28"/>
  <c r="F28" i="28"/>
  <c r="F27" i="28"/>
  <c r="F26" i="28"/>
  <c r="F25" i="28"/>
  <c r="F24" i="28"/>
  <c r="F23" i="28"/>
  <c r="F22" i="28"/>
  <c r="F21" i="28"/>
  <c r="F20" i="28"/>
  <c r="F19" i="28"/>
  <c r="F18" i="28"/>
  <c r="F17" i="28"/>
  <c r="F13" i="28"/>
  <c r="F12" i="28"/>
  <c r="F11" i="28"/>
  <c r="F10" i="28"/>
  <c r="F8" i="28"/>
  <c r="F7" i="28"/>
  <c r="F6" i="28"/>
  <c r="F5" i="28"/>
  <c r="F4" i="28"/>
  <c r="F42" i="27"/>
  <c r="F41" i="27"/>
  <c r="F40" i="27"/>
  <c r="F39" i="27"/>
  <c r="F38" i="27"/>
  <c r="F37" i="27"/>
  <c r="F36" i="27"/>
  <c r="F35" i="27"/>
  <c r="F32" i="27"/>
  <c r="F29" i="27"/>
  <c r="F28" i="27"/>
  <c r="F27" i="27"/>
  <c r="F26" i="27"/>
  <c r="F25" i="27"/>
  <c r="F24" i="27"/>
  <c r="F23" i="27"/>
  <c r="F22" i="27"/>
  <c r="F21" i="27"/>
  <c r="F20" i="27"/>
  <c r="F19" i="27"/>
  <c r="F18" i="27"/>
  <c r="F17" i="27"/>
  <c r="F13" i="27"/>
  <c r="F12" i="27"/>
  <c r="F11" i="27"/>
  <c r="F10" i="27"/>
  <c r="F8" i="27"/>
  <c r="F7" i="27"/>
  <c r="F6" i="27"/>
  <c r="F5" i="27"/>
  <c r="F4" i="27"/>
  <c r="F42" i="37"/>
  <c r="F41" i="37"/>
  <c r="F40" i="37"/>
  <c r="F39" i="37"/>
  <c r="F38" i="37"/>
  <c r="F37" i="37"/>
  <c r="F36" i="37"/>
  <c r="F35" i="37"/>
  <c r="F32" i="37"/>
  <c r="F29" i="37"/>
  <c r="F28" i="37"/>
  <c r="F27" i="37"/>
  <c r="F26" i="37"/>
  <c r="F25" i="37"/>
  <c r="F24" i="37"/>
  <c r="F23" i="37"/>
  <c r="F22" i="37"/>
  <c r="F21" i="37"/>
  <c r="F20" i="37"/>
  <c r="F19" i="37"/>
  <c r="F18" i="37"/>
  <c r="F17" i="37"/>
  <c r="F13" i="37"/>
  <c r="F12" i="37"/>
  <c r="F11" i="37"/>
  <c r="F10" i="37"/>
  <c r="F8" i="37"/>
  <c r="F7" i="37"/>
  <c r="F6" i="37"/>
  <c r="F5" i="37"/>
  <c r="F4" i="37"/>
  <c r="D29" i="38"/>
  <c r="D30" i="38"/>
  <c r="D31" i="38"/>
  <c r="D32" i="38"/>
  <c r="D33" i="38"/>
  <c r="D34" i="38"/>
  <c r="D35" i="38"/>
  <c r="D28" i="38"/>
  <c r="F42" i="1"/>
  <c r="F41" i="1"/>
  <c r="F40" i="1"/>
  <c r="F39" i="1"/>
  <c r="F38" i="1"/>
  <c r="F37" i="1"/>
  <c r="F36" i="1"/>
  <c r="F35" i="1"/>
  <c r="F32" i="1"/>
  <c r="F29" i="1"/>
  <c r="F28" i="1"/>
  <c r="F27" i="1"/>
  <c r="F26" i="1"/>
  <c r="F25" i="1"/>
  <c r="F24" i="1"/>
  <c r="F23" i="1"/>
  <c r="F22" i="1"/>
  <c r="F21" i="1"/>
  <c r="F20" i="1"/>
  <c r="F19" i="1"/>
  <c r="F18" i="1"/>
  <c r="F17" i="1"/>
  <c r="F13" i="1"/>
  <c r="F12" i="1"/>
  <c r="F11" i="1"/>
  <c r="J9" i="37"/>
  <c r="I9" i="37"/>
  <c r="G9" i="37"/>
  <c r="E9" i="37"/>
  <c r="J9" i="36"/>
  <c r="I9" i="36"/>
  <c r="G9" i="36"/>
  <c r="E9" i="36"/>
  <c r="J9" i="35"/>
  <c r="I9" i="35"/>
  <c r="G9" i="35"/>
  <c r="E9" i="35"/>
  <c r="J9" i="34"/>
  <c r="I9" i="34"/>
  <c r="G9" i="34"/>
  <c r="E9" i="34"/>
  <c r="J9" i="33"/>
  <c r="I9" i="33"/>
  <c r="G9" i="33"/>
  <c r="E9" i="33"/>
  <c r="J9" i="32"/>
  <c r="I9" i="32"/>
  <c r="G9" i="32"/>
  <c r="E9" i="32"/>
  <c r="J9" i="31"/>
  <c r="I9" i="31"/>
  <c r="G9" i="31"/>
  <c r="E9" i="31"/>
  <c r="J9" i="30"/>
  <c r="I9" i="30"/>
  <c r="G9" i="30"/>
  <c r="E9" i="30"/>
  <c r="J9" i="29"/>
  <c r="I9" i="29"/>
  <c r="G9" i="29"/>
  <c r="E9" i="29"/>
  <c r="J9" i="28"/>
  <c r="I9" i="28"/>
  <c r="G9" i="28"/>
  <c r="E9" i="28"/>
  <c r="J9" i="27"/>
  <c r="I9" i="27"/>
  <c r="G9" i="27"/>
  <c r="E9" i="27"/>
  <c r="J9" i="1"/>
  <c r="I9" i="1"/>
  <c r="G9" i="1"/>
  <c r="F10" i="1" l="1"/>
  <c r="F8" i="1"/>
  <c r="F7" i="1"/>
  <c r="F6" i="1"/>
  <c r="F5" i="1"/>
  <c r="F4" i="1"/>
  <c r="D36" i="38"/>
  <c r="D14" i="38"/>
  <c r="D15" i="38"/>
  <c r="D16" i="38"/>
  <c r="D17" i="38"/>
  <c r="D18" i="38"/>
  <c r="D19" i="38"/>
  <c r="D20" i="38"/>
  <c r="D21" i="38"/>
  <c r="D22" i="38"/>
  <c r="D23" i="38"/>
  <c r="D24" i="38"/>
  <c r="D25" i="38"/>
  <c r="D26" i="38"/>
  <c r="D13" i="38"/>
  <c r="D4" i="38"/>
  <c r="D5" i="38"/>
  <c r="D6" i="38"/>
  <c r="D7" i="38"/>
  <c r="D8" i="38"/>
  <c r="D9" i="38"/>
  <c r="D10" i="38"/>
  <c r="D11" i="38"/>
  <c r="D3" i="38"/>
  <c r="D27" i="38" l="1"/>
  <c r="D12" i="38"/>
  <c r="J47" i="37"/>
  <c r="I47" i="37"/>
  <c r="E47" i="37"/>
  <c r="J47" i="36"/>
  <c r="I47" i="36"/>
  <c r="E47" i="36"/>
  <c r="J47" i="35"/>
  <c r="I47" i="35"/>
  <c r="E47" i="35"/>
  <c r="J47" i="34"/>
  <c r="I47" i="34"/>
  <c r="E47" i="34"/>
  <c r="J47" i="33"/>
  <c r="I47" i="33"/>
  <c r="E47" i="33"/>
  <c r="J47" i="32"/>
  <c r="I47" i="32"/>
  <c r="E47" i="32"/>
  <c r="J47" i="31"/>
  <c r="I47" i="31"/>
  <c r="E47" i="31"/>
  <c r="J47" i="30"/>
  <c r="I47" i="30"/>
  <c r="E47" i="30"/>
  <c r="J47" i="29"/>
  <c r="I47" i="29"/>
  <c r="E47" i="29"/>
  <c r="J47" i="28"/>
  <c r="I47" i="28"/>
  <c r="E47" i="28"/>
  <c r="H48" i="37"/>
  <c r="H48" i="36"/>
  <c r="H48" i="35"/>
  <c r="H48" i="34"/>
  <c r="H48" i="33"/>
  <c r="H48" i="32"/>
  <c r="H48" i="31"/>
  <c r="H48" i="30"/>
  <c r="H48" i="29"/>
  <c r="H48" i="28"/>
  <c r="H48" i="27"/>
  <c r="E47" i="27"/>
  <c r="E47" i="1"/>
  <c r="E46" i="1"/>
  <c r="J47" i="27"/>
  <c r="I47" i="27"/>
  <c r="H48" i="1"/>
  <c r="I47" i="1"/>
  <c r="J47" i="1"/>
  <c r="J46" i="1" l="1"/>
  <c r="I46" i="1"/>
  <c r="B46" i="1"/>
  <c r="J45" i="1"/>
  <c r="I45" i="1"/>
  <c r="E45" i="1"/>
  <c r="B45" i="1"/>
  <c r="J44" i="1"/>
  <c r="I44" i="1"/>
  <c r="E44" i="1"/>
  <c r="B44" i="1"/>
  <c r="J43" i="1"/>
  <c r="I43" i="1"/>
  <c r="E43" i="1"/>
  <c r="B43" i="1"/>
  <c r="J42" i="1"/>
  <c r="I42" i="1"/>
  <c r="G42" i="1"/>
  <c r="E42" i="1"/>
  <c r="B42" i="1"/>
  <c r="I41" i="1"/>
  <c r="G41" i="1"/>
  <c r="J41" i="1"/>
  <c r="E41" i="1"/>
  <c r="B41" i="1"/>
  <c r="J40" i="1"/>
  <c r="I40" i="1"/>
  <c r="G40" i="1"/>
  <c r="E40" i="1"/>
  <c r="B40" i="1"/>
  <c r="I39" i="1"/>
  <c r="G39" i="1"/>
  <c r="J39" i="1"/>
  <c r="E39" i="1"/>
  <c r="I38" i="1"/>
  <c r="G38" i="1"/>
  <c r="J38" i="1"/>
  <c r="E38" i="1"/>
  <c r="B38" i="1"/>
  <c r="I37" i="1"/>
  <c r="G37" i="1"/>
  <c r="J37" i="1"/>
  <c r="E37" i="1"/>
  <c r="B37" i="1"/>
  <c r="J36" i="1"/>
  <c r="I36" i="1"/>
  <c r="G36" i="1"/>
  <c r="E36" i="1"/>
  <c r="B36" i="1"/>
  <c r="I35" i="1"/>
  <c r="G35" i="1"/>
  <c r="J35" i="1"/>
  <c r="E35" i="1"/>
  <c r="B35" i="1"/>
  <c r="J46" i="27"/>
  <c r="I46" i="27"/>
  <c r="E46" i="27"/>
  <c r="B46" i="27"/>
  <c r="J45" i="27"/>
  <c r="I45" i="27"/>
  <c r="E45" i="27"/>
  <c r="B45" i="27"/>
  <c r="J44" i="27"/>
  <c r="I44" i="27"/>
  <c r="E44" i="27"/>
  <c r="B44" i="27"/>
  <c r="J43" i="27"/>
  <c r="I43" i="27"/>
  <c r="E43" i="27"/>
  <c r="B43" i="27"/>
  <c r="I42" i="27"/>
  <c r="G42" i="27"/>
  <c r="J42" i="27"/>
  <c r="E42" i="27"/>
  <c r="B42" i="27"/>
  <c r="I41" i="27"/>
  <c r="G41" i="27"/>
  <c r="J41" i="27"/>
  <c r="E41" i="27"/>
  <c r="B41" i="27"/>
  <c r="J40" i="27"/>
  <c r="I40" i="27"/>
  <c r="G40" i="27"/>
  <c r="E40" i="27"/>
  <c r="B40" i="27"/>
  <c r="I39" i="27"/>
  <c r="G39" i="27"/>
  <c r="J39" i="27"/>
  <c r="E39" i="27"/>
  <c r="I38" i="27"/>
  <c r="G38" i="27"/>
  <c r="J38" i="27"/>
  <c r="E38" i="27"/>
  <c r="B38" i="27"/>
  <c r="J37" i="27"/>
  <c r="I37" i="27"/>
  <c r="G37" i="27"/>
  <c r="E37" i="27"/>
  <c r="B37" i="27"/>
  <c r="I36" i="27"/>
  <c r="G36" i="27"/>
  <c r="J36" i="27"/>
  <c r="E36" i="27"/>
  <c r="B36" i="27"/>
  <c r="J35" i="27"/>
  <c r="I35" i="27"/>
  <c r="G35" i="27"/>
  <c r="E35" i="27"/>
  <c r="B35" i="27"/>
  <c r="J46" i="28"/>
  <c r="I46" i="28"/>
  <c r="E46" i="28"/>
  <c r="B46" i="28"/>
  <c r="J45" i="28"/>
  <c r="I45" i="28"/>
  <c r="E45" i="28"/>
  <c r="B45" i="28"/>
  <c r="J44" i="28"/>
  <c r="I44" i="28"/>
  <c r="E44" i="28"/>
  <c r="B44" i="28"/>
  <c r="J43" i="28"/>
  <c r="I43" i="28"/>
  <c r="E43" i="28"/>
  <c r="B43" i="28"/>
  <c r="I42" i="28"/>
  <c r="G42" i="28"/>
  <c r="J42" i="28"/>
  <c r="E42" i="28"/>
  <c r="B42" i="28"/>
  <c r="J41" i="28"/>
  <c r="I41" i="28"/>
  <c r="G41" i="28"/>
  <c r="E41" i="28"/>
  <c r="B41" i="28"/>
  <c r="I40" i="28"/>
  <c r="G40" i="28"/>
  <c r="J40" i="28"/>
  <c r="E40" i="28"/>
  <c r="B40" i="28"/>
  <c r="J39" i="28"/>
  <c r="I39" i="28"/>
  <c r="G39" i="28"/>
  <c r="E39" i="28"/>
  <c r="I38" i="28"/>
  <c r="G38" i="28"/>
  <c r="J38" i="28"/>
  <c r="E38" i="28"/>
  <c r="B38" i="28"/>
  <c r="J37" i="28"/>
  <c r="I37" i="28"/>
  <c r="G37" i="28"/>
  <c r="E37" i="28"/>
  <c r="B37" i="28"/>
  <c r="I36" i="28"/>
  <c r="G36" i="28"/>
  <c r="J36" i="28"/>
  <c r="E36" i="28"/>
  <c r="B36" i="28"/>
  <c r="I35" i="28"/>
  <c r="G35" i="28"/>
  <c r="J35" i="28"/>
  <c r="E35" i="28"/>
  <c r="B35" i="28"/>
  <c r="J46" i="29"/>
  <c r="I46" i="29"/>
  <c r="E46" i="29"/>
  <c r="B46" i="29"/>
  <c r="J45" i="29"/>
  <c r="I45" i="29"/>
  <c r="E45" i="29"/>
  <c r="B45" i="29"/>
  <c r="J44" i="29"/>
  <c r="I44" i="29"/>
  <c r="E44" i="29"/>
  <c r="B44" i="29"/>
  <c r="J43" i="29"/>
  <c r="I43" i="29"/>
  <c r="B43" i="29"/>
  <c r="I42" i="29"/>
  <c r="G42" i="29"/>
  <c r="J42" i="29"/>
  <c r="E42" i="29"/>
  <c r="B42" i="29"/>
  <c r="I41" i="29"/>
  <c r="G41" i="29"/>
  <c r="J41" i="29"/>
  <c r="E41" i="29"/>
  <c r="B41" i="29"/>
  <c r="I40" i="29"/>
  <c r="G40" i="29"/>
  <c r="J40" i="29"/>
  <c r="E40" i="29"/>
  <c r="B40" i="29"/>
  <c r="I39" i="29"/>
  <c r="G39" i="29"/>
  <c r="J39" i="29"/>
  <c r="E39" i="29"/>
  <c r="J38" i="29"/>
  <c r="I38" i="29"/>
  <c r="G38" i="29"/>
  <c r="E38" i="29"/>
  <c r="B38" i="29"/>
  <c r="I37" i="29"/>
  <c r="G37" i="29"/>
  <c r="J37" i="29"/>
  <c r="E37" i="29"/>
  <c r="B37" i="29"/>
  <c r="J36" i="29"/>
  <c r="I36" i="29"/>
  <c r="G36" i="29"/>
  <c r="E36" i="29"/>
  <c r="B36" i="29"/>
  <c r="I35" i="29"/>
  <c r="G35" i="29"/>
  <c r="J35" i="29"/>
  <c r="E35" i="29"/>
  <c r="B35" i="29"/>
  <c r="J46" i="30"/>
  <c r="I46" i="30"/>
  <c r="E46" i="30"/>
  <c r="B46" i="30"/>
  <c r="J45" i="30"/>
  <c r="I45" i="30"/>
  <c r="E45" i="30"/>
  <c r="B45" i="30"/>
  <c r="J44" i="30"/>
  <c r="I44" i="30"/>
  <c r="E44" i="30"/>
  <c r="B44" i="30"/>
  <c r="J43" i="30"/>
  <c r="I43" i="30"/>
  <c r="E43" i="30"/>
  <c r="B43" i="30"/>
  <c r="I42" i="30"/>
  <c r="G42" i="30"/>
  <c r="J42" i="30"/>
  <c r="E42" i="30"/>
  <c r="B42" i="30"/>
  <c r="I41" i="30"/>
  <c r="G41" i="30"/>
  <c r="J41" i="30"/>
  <c r="E41" i="30"/>
  <c r="B41" i="30"/>
  <c r="I40" i="30"/>
  <c r="G40" i="30"/>
  <c r="J40" i="30"/>
  <c r="E40" i="30"/>
  <c r="B40" i="30"/>
  <c r="I39" i="30"/>
  <c r="G39" i="30"/>
  <c r="J39" i="30"/>
  <c r="E39" i="30"/>
  <c r="I38" i="30"/>
  <c r="G38" i="30"/>
  <c r="J38" i="30"/>
  <c r="E38" i="30"/>
  <c r="B38" i="30"/>
  <c r="J37" i="30"/>
  <c r="I37" i="30"/>
  <c r="G37" i="30"/>
  <c r="E37" i="30"/>
  <c r="B37" i="30"/>
  <c r="I36" i="30"/>
  <c r="G36" i="30"/>
  <c r="J36" i="30"/>
  <c r="E36" i="30"/>
  <c r="B36" i="30"/>
  <c r="J35" i="30"/>
  <c r="I35" i="30"/>
  <c r="G35" i="30"/>
  <c r="E35" i="30"/>
  <c r="B35" i="30"/>
  <c r="J46" i="31"/>
  <c r="I46" i="31"/>
  <c r="E46" i="31"/>
  <c r="B46" i="31"/>
  <c r="J45" i="31"/>
  <c r="I45" i="31"/>
  <c r="E45" i="31"/>
  <c r="B45" i="31"/>
  <c r="J44" i="31"/>
  <c r="I44" i="31"/>
  <c r="E44" i="31"/>
  <c r="B44" i="31"/>
  <c r="J43" i="31"/>
  <c r="I43" i="31"/>
  <c r="E43" i="31"/>
  <c r="B43" i="31"/>
  <c r="J42" i="31"/>
  <c r="I42" i="31"/>
  <c r="G42" i="31"/>
  <c r="E42" i="31"/>
  <c r="B42" i="31"/>
  <c r="J41" i="31"/>
  <c r="I41" i="31"/>
  <c r="G41" i="31"/>
  <c r="E41" i="31"/>
  <c r="B41" i="31"/>
  <c r="I40" i="31"/>
  <c r="G40" i="31"/>
  <c r="J40" i="31"/>
  <c r="E40" i="31"/>
  <c r="B40" i="31"/>
  <c r="J39" i="31"/>
  <c r="I39" i="31"/>
  <c r="G39" i="31"/>
  <c r="E39" i="31"/>
  <c r="I38" i="31"/>
  <c r="G38" i="31"/>
  <c r="J38" i="31"/>
  <c r="E38" i="31"/>
  <c r="B38" i="31"/>
  <c r="I37" i="31"/>
  <c r="G37" i="31"/>
  <c r="J37" i="31"/>
  <c r="E37" i="31"/>
  <c r="B37" i="31"/>
  <c r="I36" i="31"/>
  <c r="G36" i="31"/>
  <c r="J36" i="31"/>
  <c r="E36" i="31"/>
  <c r="B36" i="31"/>
  <c r="J35" i="31"/>
  <c r="I35" i="31"/>
  <c r="G35" i="31"/>
  <c r="E35" i="31"/>
  <c r="B35" i="31"/>
  <c r="J46" i="32"/>
  <c r="I46" i="32"/>
  <c r="E46" i="32"/>
  <c r="B46" i="32"/>
  <c r="J45" i="32"/>
  <c r="I45" i="32"/>
  <c r="E45" i="32"/>
  <c r="B45" i="32"/>
  <c r="J44" i="32"/>
  <c r="I44" i="32"/>
  <c r="E44" i="32"/>
  <c r="B44" i="32"/>
  <c r="J43" i="32"/>
  <c r="I43" i="32"/>
  <c r="E43" i="32"/>
  <c r="B43" i="32"/>
  <c r="I42" i="32"/>
  <c r="G42" i="32"/>
  <c r="J42" i="32"/>
  <c r="E42" i="32"/>
  <c r="B42" i="32"/>
  <c r="I41" i="32"/>
  <c r="G41" i="32"/>
  <c r="J41" i="32"/>
  <c r="E41" i="32"/>
  <c r="B41" i="32"/>
  <c r="I40" i="32"/>
  <c r="G40" i="32"/>
  <c r="J40" i="32"/>
  <c r="E40" i="32"/>
  <c r="B40" i="32"/>
  <c r="I39" i="32"/>
  <c r="G39" i="32"/>
  <c r="J39" i="32"/>
  <c r="E39" i="32"/>
  <c r="I38" i="32"/>
  <c r="G38" i="32"/>
  <c r="J38" i="32"/>
  <c r="E38" i="32"/>
  <c r="B38" i="32"/>
  <c r="I37" i="32"/>
  <c r="G37" i="32"/>
  <c r="J37" i="32"/>
  <c r="E37" i="32"/>
  <c r="B37" i="32"/>
  <c r="I36" i="32"/>
  <c r="G36" i="32"/>
  <c r="J36" i="32"/>
  <c r="E36" i="32"/>
  <c r="B36" i="32"/>
  <c r="I35" i="32"/>
  <c r="G35" i="32"/>
  <c r="J35" i="32"/>
  <c r="E35" i="32"/>
  <c r="B35" i="32"/>
  <c r="J46" i="33"/>
  <c r="I46" i="33"/>
  <c r="E46" i="33"/>
  <c r="B46" i="33"/>
  <c r="J45" i="33"/>
  <c r="I45" i="33"/>
  <c r="E45" i="33"/>
  <c r="B45" i="33"/>
  <c r="J44" i="33"/>
  <c r="I44" i="33"/>
  <c r="E44" i="33"/>
  <c r="B44" i="33"/>
  <c r="J43" i="33"/>
  <c r="I43" i="33"/>
  <c r="E43" i="33"/>
  <c r="B43" i="33"/>
  <c r="J42" i="33"/>
  <c r="I42" i="33"/>
  <c r="G42" i="33"/>
  <c r="E42" i="33"/>
  <c r="B42" i="33"/>
  <c r="I41" i="33"/>
  <c r="G41" i="33"/>
  <c r="J41" i="33"/>
  <c r="E41" i="33"/>
  <c r="B41" i="33"/>
  <c r="J40" i="33"/>
  <c r="I40" i="33"/>
  <c r="G40" i="33"/>
  <c r="E40" i="33"/>
  <c r="B40" i="33"/>
  <c r="I39" i="33"/>
  <c r="G39" i="33"/>
  <c r="J39" i="33"/>
  <c r="E39" i="33"/>
  <c r="J38" i="33"/>
  <c r="I38" i="33"/>
  <c r="G38" i="33"/>
  <c r="E38" i="33"/>
  <c r="B38" i="33"/>
  <c r="I37" i="33"/>
  <c r="G37" i="33"/>
  <c r="J37" i="33"/>
  <c r="E37" i="33"/>
  <c r="B37" i="33"/>
  <c r="I36" i="33"/>
  <c r="G36" i="33"/>
  <c r="J36" i="33"/>
  <c r="E36" i="33"/>
  <c r="B36" i="33"/>
  <c r="I35" i="33"/>
  <c r="G35" i="33"/>
  <c r="J35" i="33"/>
  <c r="E35" i="33"/>
  <c r="B35" i="33"/>
  <c r="J46" i="34"/>
  <c r="I46" i="34"/>
  <c r="E46" i="34"/>
  <c r="B46" i="34"/>
  <c r="J45" i="34"/>
  <c r="I45" i="34"/>
  <c r="E45" i="34"/>
  <c r="B45" i="34"/>
  <c r="J44" i="34"/>
  <c r="I44" i="34"/>
  <c r="E44" i="34"/>
  <c r="B44" i="34"/>
  <c r="J43" i="34"/>
  <c r="I43" i="34"/>
  <c r="E43" i="34"/>
  <c r="B43" i="34"/>
  <c r="J42" i="34"/>
  <c r="I42" i="34"/>
  <c r="G42" i="34"/>
  <c r="E42" i="34"/>
  <c r="B42" i="34"/>
  <c r="I41" i="34"/>
  <c r="G41" i="34"/>
  <c r="J41" i="34"/>
  <c r="E41" i="34"/>
  <c r="B41" i="34"/>
  <c r="I40" i="34"/>
  <c r="G40" i="34"/>
  <c r="J40" i="34"/>
  <c r="E40" i="34"/>
  <c r="B40" i="34"/>
  <c r="I39" i="34"/>
  <c r="G39" i="34"/>
  <c r="J39" i="34"/>
  <c r="E39" i="34"/>
  <c r="I38" i="34"/>
  <c r="G38" i="34"/>
  <c r="J38" i="34"/>
  <c r="E38" i="34"/>
  <c r="B38" i="34"/>
  <c r="J37" i="34"/>
  <c r="I37" i="34"/>
  <c r="G37" i="34"/>
  <c r="E37" i="34"/>
  <c r="B37" i="34"/>
  <c r="I36" i="34"/>
  <c r="G36" i="34"/>
  <c r="J36" i="34"/>
  <c r="E36" i="34"/>
  <c r="B36" i="34"/>
  <c r="J35" i="34"/>
  <c r="I35" i="34"/>
  <c r="G35" i="34"/>
  <c r="E35" i="34"/>
  <c r="B35" i="34"/>
  <c r="J46" i="35"/>
  <c r="I46" i="35"/>
  <c r="E46" i="35"/>
  <c r="B46" i="35"/>
  <c r="J45" i="35"/>
  <c r="I45" i="35"/>
  <c r="E45" i="35"/>
  <c r="B45" i="35"/>
  <c r="J44" i="35"/>
  <c r="I44" i="35"/>
  <c r="E44" i="35"/>
  <c r="B44" i="35"/>
  <c r="J43" i="35"/>
  <c r="I43" i="35"/>
  <c r="E43" i="35"/>
  <c r="B43" i="35"/>
  <c r="I42" i="35"/>
  <c r="G42" i="35"/>
  <c r="J42" i="35"/>
  <c r="E42" i="35"/>
  <c r="B42" i="35"/>
  <c r="I41" i="35"/>
  <c r="G41" i="35"/>
  <c r="J41" i="35"/>
  <c r="E41" i="35"/>
  <c r="B41" i="35"/>
  <c r="I40" i="35"/>
  <c r="G40" i="35"/>
  <c r="J40" i="35"/>
  <c r="E40" i="35"/>
  <c r="B40" i="35"/>
  <c r="J39" i="35"/>
  <c r="I39" i="35"/>
  <c r="G39" i="35"/>
  <c r="E39" i="35"/>
  <c r="I38" i="35"/>
  <c r="G38" i="35"/>
  <c r="J38" i="35"/>
  <c r="E38" i="35"/>
  <c r="B38" i="35"/>
  <c r="I37" i="35"/>
  <c r="G37" i="35"/>
  <c r="J37" i="35"/>
  <c r="E37" i="35"/>
  <c r="B37" i="35"/>
  <c r="I36" i="35"/>
  <c r="G36" i="35"/>
  <c r="J36" i="35"/>
  <c r="E36" i="35"/>
  <c r="B36" i="35"/>
  <c r="J35" i="35"/>
  <c r="I35" i="35"/>
  <c r="G35" i="35"/>
  <c r="E35" i="35"/>
  <c r="B35" i="35"/>
  <c r="J46" i="36"/>
  <c r="I46" i="36"/>
  <c r="E46" i="36"/>
  <c r="B46" i="36"/>
  <c r="J45" i="36"/>
  <c r="I45" i="36"/>
  <c r="E45" i="36"/>
  <c r="B45" i="36"/>
  <c r="J44" i="36"/>
  <c r="I44" i="36"/>
  <c r="E44" i="36"/>
  <c r="B44" i="36"/>
  <c r="J43" i="36"/>
  <c r="I43" i="36"/>
  <c r="E43" i="36"/>
  <c r="B43" i="36"/>
  <c r="I42" i="36"/>
  <c r="G42" i="36"/>
  <c r="J42" i="36"/>
  <c r="E42" i="36"/>
  <c r="B42" i="36"/>
  <c r="J41" i="36"/>
  <c r="I41" i="36"/>
  <c r="G41" i="36"/>
  <c r="E41" i="36"/>
  <c r="B41" i="36"/>
  <c r="I40" i="36"/>
  <c r="G40" i="36"/>
  <c r="J40" i="36"/>
  <c r="E40" i="36"/>
  <c r="B40" i="36"/>
  <c r="I39" i="36"/>
  <c r="G39" i="36"/>
  <c r="J39" i="36"/>
  <c r="E39" i="36"/>
  <c r="I38" i="36"/>
  <c r="G38" i="36"/>
  <c r="J38" i="36"/>
  <c r="E38" i="36"/>
  <c r="B38" i="36"/>
  <c r="I37" i="36"/>
  <c r="G37" i="36"/>
  <c r="J37" i="36"/>
  <c r="E37" i="36"/>
  <c r="B37" i="36"/>
  <c r="J36" i="36"/>
  <c r="I36" i="36"/>
  <c r="G36" i="36"/>
  <c r="E36" i="36"/>
  <c r="B36" i="36"/>
  <c r="I35" i="36"/>
  <c r="G35" i="36"/>
  <c r="J35" i="36"/>
  <c r="E35" i="36"/>
  <c r="B35" i="36"/>
  <c r="I43" i="37"/>
  <c r="J43" i="37"/>
  <c r="E43" i="37"/>
  <c r="E44" i="37"/>
  <c r="B41" i="37"/>
  <c r="B42" i="37"/>
  <c r="B43" i="37"/>
  <c r="B44" i="37"/>
  <c r="B45" i="37"/>
  <c r="B46" i="37"/>
  <c r="B40" i="37"/>
  <c r="B38" i="37"/>
  <c r="B37" i="37"/>
  <c r="B36" i="37"/>
  <c r="B35" i="37"/>
  <c r="I22" i="37"/>
  <c r="G22" i="37"/>
  <c r="J22" i="37"/>
  <c r="E22" i="37"/>
  <c r="B22" i="37"/>
  <c r="I21" i="37"/>
  <c r="G21" i="37"/>
  <c r="J21" i="37"/>
  <c r="E21" i="37"/>
  <c r="B21" i="37"/>
  <c r="I20" i="37"/>
  <c r="G20" i="37"/>
  <c r="J20" i="37"/>
  <c r="E20" i="37"/>
  <c r="J19" i="37"/>
  <c r="I19" i="37"/>
  <c r="G19" i="37"/>
  <c r="E19" i="37"/>
  <c r="B19" i="37"/>
  <c r="I18" i="37"/>
  <c r="G18" i="37"/>
  <c r="J18" i="37"/>
  <c r="E18" i="37"/>
  <c r="I17" i="37"/>
  <c r="G17" i="37"/>
  <c r="J17" i="37"/>
  <c r="E17" i="37"/>
  <c r="B17" i="37"/>
  <c r="I22" i="36"/>
  <c r="G22" i="36"/>
  <c r="J22" i="36"/>
  <c r="E22" i="36"/>
  <c r="B22" i="36"/>
  <c r="J21" i="36"/>
  <c r="I21" i="36"/>
  <c r="G21" i="36"/>
  <c r="E21" i="36"/>
  <c r="B21" i="36"/>
  <c r="I20" i="36"/>
  <c r="G20" i="36"/>
  <c r="J20" i="36"/>
  <c r="E20" i="36"/>
  <c r="I19" i="36"/>
  <c r="G19" i="36"/>
  <c r="J19" i="36"/>
  <c r="E19" i="36"/>
  <c r="B19" i="36"/>
  <c r="I18" i="36"/>
  <c r="G18" i="36"/>
  <c r="J18" i="36"/>
  <c r="E18" i="36"/>
  <c r="I17" i="36"/>
  <c r="G17" i="36"/>
  <c r="J17" i="36"/>
  <c r="E17" i="36"/>
  <c r="B17" i="36"/>
  <c r="I22" i="35"/>
  <c r="G22" i="35"/>
  <c r="J22" i="35"/>
  <c r="E22" i="35"/>
  <c r="B22" i="35"/>
  <c r="I21" i="35"/>
  <c r="G21" i="35"/>
  <c r="J21" i="35"/>
  <c r="E21" i="35"/>
  <c r="B21" i="35"/>
  <c r="J20" i="35"/>
  <c r="I20" i="35"/>
  <c r="G20" i="35"/>
  <c r="E20" i="35"/>
  <c r="J19" i="35"/>
  <c r="I19" i="35"/>
  <c r="G19" i="35"/>
  <c r="E19" i="35"/>
  <c r="B19" i="35"/>
  <c r="I18" i="35"/>
  <c r="G18" i="35"/>
  <c r="J18" i="35"/>
  <c r="E18" i="35"/>
  <c r="I17" i="35"/>
  <c r="G17" i="35"/>
  <c r="J17" i="35"/>
  <c r="E17" i="35"/>
  <c r="B17" i="35"/>
  <c r="I22" i="34"/>
  <c r="G22" i="34"/>
  <c r="J22" i="34"/>
  <c r="E22" i="34"/>
  <c r="B22" i="34"/>
  <c r="I21" i="34"/>
  <c r="G21" i="34"/>
  <c r="J21" i="34"/>
  <c r="E21" i="34"/>
  <c r="B21" i="34"/>
  <c r="I20" i="34"/>
  <c r="G20" i="34"/>
  <c r="J20" i="34"/>
  <c r="E20" i="34"/>
  <c r="I19" i="34"/>
  <c r="G19" i="34"/>
  <c r="J19" i="34"/>
  <c r="E19" i="34"/>
  <c r="B19" i="34"/>
  <c r="I18" i="34"/>
  <c r="G18" i="34"/>
  <c r="J18" i="34"/>
  <c r="E18" i="34"/>
  <c r="J17" i="34"/>
  <c r="I17" i="34"/>
  <c r="G17" i="34"/>
  <c r="E17" i="34"/>
  <c r="B17" i="34"/>
  <c r="I22" i="33"/>
  <c r="G22" i="33"/>
  <c r="J22" i="33"/>
  <c r="E22" i="33"/>
  <c r="B22" i="33"/>
  <c r="I21" i="33"/>
  <c r="G21" i="33"/>
  <c r="J21" i="33"/>
  <c r="E21" i="33"/>
  <c r="B21" i="33"/>
  <c r="I20" i="33"/>
  <c r="G20" i="33"/>
  <c r="J20" i="33"/>
  <c r="E20" i="33"/>
  <c r="I19" i="33"/>
  <c r="G19" i="33"/>
  <c r="J19" i="33"/>
  <c r="E19" i="33"/>
  <c r="B19" i="33"/>
  <c r="J18" i="33"/>
  <c r="I18" i="33"/>
  <c r="G18" i="33"/>
  <c r="E18" i="33"/>
  <c r="I17" i="33"/>
  <c r="G17" i="33"/>
  <c r="J17" i="33"/>
  <c r="E17" i="33"/>
  <c r="B17" i="33"/>
  <c r="I22" i="32"/>
  <c r="G22" i="32"/>
  <c r="J22" i="32"/>
  <c r="E22" i="32"/>
  <c r="B22" i="32"/>
  <c r="J21" i="32"/>
  <c r="I21" i="32"/>
  <c r="G21" i="32"/>
  <c r="E21" i="32"/>
  <c r="B21" i="32"/>
  <c r="I20" i="32"/>
  <c r="G20" i="32"/>
  <c r="J20" i="32"/>
  <c r="E20" i="32"/>
  <c r="J19" i="32"/>
  <c r="I19" i="32"/>
  <c r="G19" i="32"/>
  <c r="E19" i="32"/>
  <c r="B19" i="32"/>
  <c r="I18" i="32"/>
  <c r="G18" i="32"/>
  <c r="J18" i="32"/>
  <c r="E18" i="32"/>
  <c r="I17" i="32"/>
  <c r="G17" i="32"/>
  <c r="J17" i="32"/>
  <c r="E17" i="32"/>
  <c r="B17" i="32"/>
  <c r="I22" i="31"/>
  <c r="G22" i="31"/>
  <c r="J22" i="31"/>
  <c r="E22" i="31"/>
  <c r="B22" i="31"/>
  <c r="I21" i="31"/>
  <c r="G21" i="31"/>
  <c r="J21" i="31"/>
  <c r="E21" i="31"/>
  <c r="B21" i="31"/>
  <c r="I20" i="31"/>
  <c r="G20" i="31"/>
  <c r="J20" i="31"/>
  <c r="E20" i="31"/>
  <c r="J19" i="31"/>
  <c r="I19" i="31"/>
  <c r="G19" i="31"/>
  <c r="E19" i="31"/>
  <c r="B19" i="31"/>
  <c r="I18" i="31"/>
  <c r="G18" i="31"/>
  <c r="J18" i="31"/>
  <c r="E18" i="31"/>
  <c r="I17" i="31"/>
  <c r="G17" i="31"/>
  <c r="J17" i="31"/>
  <c r="E17" i="31"/>
  <c r="B17" i="31"/>
  <c r="I22" i="30"/>
  <c r="G22" i="30"/>
  <c r="J22" i="30"/>
  <c r="E22" i="30"/>
  <c r="B22" i="30"/>
  <c r="I21" i="30"/>
  <c r="G21" i="30"/>
  <c r="J21" i="30"/>
  <c r="E21" i="30"/>
  <c r="B21" i="30"/>
  <c r="J20" i="30"/>
  <c r="I20" i="30"/>
  <c r="G20" i="30"/>
  <c r="E20" i="30"/>
  <c r="I19" i="30"/>
  <c r="G19" i="30"/>
  <c r="J19" i="30"/>
  <c r="E19" i="30"/>
  <c r="B19" i="30"/>
  <c r="I18" i="30"/>
  <c r="G18" i="30"/>
  <c r="J18" i="30"/>
  <c r="E18" i="30"/>
  <c r="I17" i="30"/>
  <c r="G17" i="30"/>
  <c r="J17" i="30"/>
  <c r="E17" i="30"/>
  <c r="B17" i="30"/>
  <c r="I22" i="29"/>
  <c r="G22" i="29"/>
  <c r="J22" i="29"/>
  <c r="E22" i="29"/>
  <c r="B22" i="29"/>
  <c r="J21" i="29"/>
  <c r="I21" i="29"/>
  <c r="G21" i="29"/>
  <c r="E21" i="29"/>
  <c r="B21" i="29"/>
  <c r="I20" i="29"/>
  <c r="G20" i="29"/>
  <c r="J20" i="29"/>
  <c r="E20" i="29"/>
  <c r="J19" i="29"/>
  <c r="I19" i="29"/>
  <c r="G19" i="29"/>
  <c r="E19" i="29"/>
  <c r="B19" i="29"/>
  <c r="I18" i="29"/>
  <c r="G18" i="29"/>
  <c r="J18" i="29"/>
  <c r="E18" i="29"/>
  <c r="I17" i="29"/>
  <c r="G17" i="29"/>
  <c r="J17" i="29"/>
  <c r="E17" i="29"/>
  <c r="B17" i="29"/>
  <c r="I22" i="28"/>
  <c r="G22" i="28"/>
  <c r="J22" i="28"/>
  <c r="E22" i="28"/>
  <c r="B22" i="28"/>
  <c r="I21" i="28"/>
  <c r="G21" i="28"/>
  <c r="J21" i="28"/>
  <c r="E21" i="28"/>
  <c r="B21" i="28"/>
  <c r="I20" i="28"/>
  <c r="G20" i="28"/>
  <c r="J20" i="28"/>
  <c r="E20" i="28"/>
  <c r="J19" i="28"/>
  <c r="I19" i="28"/>
  <c r="G19" i="28"/>
  <c r="E19" i="28"/>
  <c r="B19" i="28"/>
  <c r="I18" i="28"/>
  <c r="G18" i="28"/>
  <c r="J18" i="28"/>
  <c r="E18" i="28"/>
  <c r="I17" i="28"/>
  <c r="G17" i="28"/>
  <c r="J17" i="28"/>
  <c r="E17" i="28"/>
  <c r="B17" i="28"/>
  <c r="I22" i="27"/>
  <c r="G22" i="27"/>
  <c r="J22" i="27"/>
  <c r="E22" i="27"/>
  <c r="B22" i="27"/>
  <c r="I21" i="27"/>
  <c r="G21" i="27"/>
  <c r="J21" i="27"/>
  <c r="E21" i="27"/>
  <c r="B21" i="27"/>
  <c r="J20" i="27"/>
  <c r="I20" i="27"/>
  <c r="G20" i="27"/>
  <c r="E20" i="27"/>
  <c r="I19" i="27"/>
  <c r="G19" i="27"/>
  <c r="J19" i="27"/>
  <c r="E19" i="27"/>
  <c r="B19" i="27"/>
  <c r="I18" i="27"/>
  <c r="G18" i="27"/>
  <c r="J18" i="27"/>
  <c r="E18" i="27"/>
  <c r="J17" i="27"/>
  <c r="I17" i="27"/>
  <c r="G17" i="27"/>
  <c r="E17" i="27"/>
  <c r="B17" i="27"/>
  <c r="I22" i="1"/>
  <c r="G22" i="1"/>
  <c r="J22" i="1"/>
  <c r="E22" i="1"/>
  <c r="B22" i="1"/>
  <c r="B9" i="37"/>
  <c r="I8" i="37"/>
  <c r="G8" i="37"/>
  <c r="J8" i="37"/>
  <c r="E8" i="37"/>
  <c r="B8" i="37"/>
  <c r="B9" i="36"/>
  <c r="I8" i="36"/>
  <c r="G8" i="36"/>
  <c r="J8" i="36"/>
  <c r="E8" i="36"/>
  <c r="B8" i="36"/>
  <c r="B9" i="35"/>
  <c r="I8" i="35"/>
  <c r="G8" i="35"/>
  <c r="J8" i="35"/>
  <c r="E8" i="35"/>
  <c r="B8" i="35"/>
  <c r="B9" i="34"/>
  <c r="I8" i="34"/>
  <c r="G8" i="34"/>
  <c r="J8" i="34"/>
  <c r="E8" i="34"/>
  <c r="B8" i="34"/>
  <c r="B9" i="33"/>
  <c r="I8" i="33"/>
  <c r="G8" i="33"/>
  <c r="J8" i="33"/>
  <c r="E8" i="33"/>
  <c r="B8" i="33"/>
  <c r="B9" i="32"/>
  <c r="I8" i="32"/>
  <c r="G8" i="32"/>
  <c r="J8" i="32"/>
  <c r="E8" i="32"/>
  <c r="B8" i="32"/>
  <c r="B9" i="31"/>
  <c r="I8" i="31"/>
  <c r="G8" i="31"/>
  <c r="J8" i="31"/>
  <c r="E8" i="31"/>
  <c r="B8" i="31"/>
  <c r="B9" i="30"/>
  <c r="I8" i="30"/>
  <c r="G8" i="30"/>
  <c r="J8" i="30"/>
  <c r="E8" i="30"/>
  <c r="B8" i="30"/>
  <c r="B9" i="29"/>
  <c r="I8" i="29"/>
  <c r="G8" i="29"/>
  <c r="J8" i="29"/>
  <c r="E8" i="29"/>
  <c r="B8" i="29"/>
  <c r="B9" i="28"/>
  <c r="I8" i="28"/>
  <c r="G8" i="28"/>
  <c r="J8" i="28"/>
  <c r="E8" i="28"/>
  <c r="B8" i="28"/>
  <c r="B9" i="27"/>
  <c r="I8" i="27"/>
  <c r="G8" i="27"/>
  <c r="J8" i="27"/>
  <c r="E8" i="27"/>
  <c r="B8" i="27"/>
  <c r="E9" i="1"/>
  <c r="I8" i="1"/>
  <c r="G8" i="1"/>
  <c r="E8" i="1"/>
  <c r="J8" i="1"/>
  <c r="B9" i="1"/>
  <c r="B8" i="1"/>
  <c r="J48" i="27" l="1"/>
  <c r="J48" i="34"/>
  <c r="F48" i="33"/>
  <c r="J48" i="31"/>
  <c r="J48" i="28"/>
  <c r="J48" i="30"/>
  <c r="F48" i="29"/>
  <c r="J48" i="1"/>
  <c r="J48" i="35"/>
  <c r="F48" i="34"/>
  <c r="F48" i="30"/>
  <c r="J48" i="36"/>
  <c r="F48" i="35"/>
  <c r="J48" i="32"/>
  <c r="F48" i="31"/>
  <c r="F48" i="27"/>
  <c r="F48" i="36"/>
  <c r="J48" i="33"/>
  <c r="F48" i="32"/>
  <c r="J48" i="29"/>
  <c r="F48" i="28"/>
  <c r="F48" i="1"/>
  <c r="J46" i="37"/>
  <c r="I46" i="37"/>
  <c r="E46" i="37"/>
  <c r="J45" i="37"/>
  <c r="I45" i="37"/>
  <c r="E45" i="37"/>
  <c r="J44" i="37"/>
  <c r="I44" i="37"/>
  <c r="I42" i="37"/>
  <c r="G42" i="37"/>
  <c r="J42" i="37"/>
  <c r="E42" i="37"/>
  <c r="I41" i="37"/>
  <c r="G41" i="37"/>
  <c r="J41" i="37"/>
  <c r="E41" i="37"/>
  <c r="I40" i="37"/>
  <c r="G40" i="37"/>
  <c r="J40" i="37"/>
  <c r="E40" i="37"/>
  <c r="I39" i="37"/>
  <c r="G39" i="37"/>
  <c r="J39" i="37"/>
  <c r="E39" i="37"/>
  <c r="I38" i="37"/>
  <c r="G38" i="37"/>
  <c r="J38" i="37"/>
  <c r="E38" i="37"/>
  <c r="I37" i="37"/>
  <c r="G37" i="37"/>
  <c r="J37" i="37"/>
  <c r="E37" i="37"/>
  <c r="I36" i="37"/>
  <c r="G36" i="37"/>
  <c r="J36" i="37"/>
  <c r="E36" i="37"/>
  <c r="I35" i="37"/>
  <c r="G35" i="37"/>
  <c r="E35" i="37"/>
  <c r="H33" i="37"/>
  <c r="J32" i="37"/>
  <c r="I32" i="37"/>
  <c r="G32" i="37"/>
  <c r="E32" i="37"/>
  <c r="B32" i="37"/>
  <c r="J31" i="37"/>
  <c r="I31" i="37"/>
  <c r="E31" i="37"/>
  <c r="J30" i="37"/>
  <c r="E30" i="37"/>
  <c r="B30" i="37"/>
  <c r="J29" i="37"/>
  <c r="I29" i="37"/>
  <c r="G29" i="37"/>
  <c r="E29" i="37"/>
  <c r="B29" i="37"/>
  <c r="I28" i="37"/>
  <c r="G28" i="37"/>
  <c r="J28" i="37"/>
  <c r="E28" i="37"/>
  <c r="B28" i="37"/>
  <c r="I27" i="37"/>
  <c r="G27" i="37"/>
  <c r="J27" i="37"/>
  <c r="E27" i="37"/>
  <c r="B27" i="37"/>
  <c r="I26" i="37"/>
  <c r="G26" i="37"/>
  <c r="J26" i="37"/>
  <c r="E26" i="37"/>
  <c r="B26" i="37"/>
  <c r="I25" i="37"/>
  <c r="G25" i="37"/>
  <c r="J25" i="37"/>
  <c r="E25" i="37"/>
  <c r="B25" i="37"/>
  <c r="I24" i="37"/>
  <c r="G24" i="37"/>
  <c r="J24" i="37"/>
  <c r="E24" i="37"/>
  <c r="B24" i="37"/>
  <c r="I23" i="37"/>
  <c r="G23" i="37"/>
  <c r="J23" i="37"/>
  <c r="E23" i="37"/>
  <c r="B23" i="37"/>
  <c r="H14" i="37"/>
  <c r="H34" i="37" s="1"/>
  <c r="I13" i="37"/>
  <c r="G13" i="37"/>
  <c r="J13" i="37"/>
  <c r="E13" i="37"/>
  <c r="B13" i="37"/>
  <c r="I12" i="37"/>
  <c r="G12" i="37"/>
  <c r="J12" i="37"/>
  <c r="E12" i="37"/>
  <c r="B12" i="37"/>
  <c r="I11" i="37"/>
  <c r="G11" i="37"/>
  <c r="J11" i="37"/>
  <c r="E11" i="37"/>
  <c r="B11" i="37"/>
  <c r="I10" i="37"/>
  <c r="G10" i="37"/>
  <c r="J10" i="37"/>
  <c r="E10" i="37"/>
  <c r="B10" i="37"/>
  <c r="I7" i="37"/>
  <c r="G7" i="37"/>
  <c r="J7" i="37"/>
  <c r="E7" i="37"/>
  <c r="B7" i="37"/>
  <c r="I6" i="37"/>
  <c r="G6" i="37"/>
  <c r="J6" i="37"/>
  <c r="E6" i="37"/>
  <c r="B6" i="37"/>
  <c r="I5" i="37"/>
  <c r="G5" i="37"/>
  <c r="J5" i="37"/>
  <c r="E5" i="37"/>
  <c r="B5" i="37"/>
  <c r="I4" i="37"/>
  <c r="G4" i="37"/>
  <c r="J4" i="37"/>
  <c r="E4" i="37"/>
  <c r="B4" i="37"/>
  <c r="H33" i="36"/>
  <c r="I32" i="36"/>
  <c r="G32" i="36"/>
  <c r="J32" i="36"/>
  <c r="E32" i="36"/>
  <c r="B32" i="36"/>
  <c r="J31" i="36"/>
  <c r="I31" i="36"/>
  <c r="E31" i="36"/>
  <c r="J30" i="36"/>
  <c r="E30" i="36"/>
  <c r="B30" i="36"/>
  <c r="I29" i="36"/>
  <c r="G29" i="36"/>
  <c r="J29" i="36"/>
  <c r="E29" i="36"/>
  <c r="B29" i="36"/>
  <c r="I28" i="36"/>
  <c r="G28" i="36"/>
  <c r="J28" i="36"/>
  <c r="E28" i="36"/>
  <c r="B28" i="36"/>
  <c r="I27" i="36"/>
  <c r="G27" i="36"/>
  <c r="J27" i="36"/>
  <c r="E27" i="36"/>
  <c r="B27" i="36"/>
  <c r="I26" i="36"/>
  <c r="G26" i="36"/>
  <c r="J26" i="36"/>
  <c r="E26" i="36"/>
  <c r="B26" i="36"/>
  <c r="I25" i="36"/>
  <c r="G25" i="36"/>
  <c r="J25" i="36"/>
  <c r="E25" i="36"/>
  <c r="B25" i="36"/>
  <c r="I24" i="36"/>
  <c r="G24" i="36"/>
  <c r="J24" i="36"/>
  <c r="E24" i="36"/>
  <c r="B24" i="36"/>
  <c r="I23" i="36"/>
  <c r="G23" i="36"/>
  <c r="J23" i="36"/>
  <c r="E23" i="36"/>
  <c r="B23" i="36"/>
  <c r="H14" i="36"/>
  <c r="I13" i="36"/>
  <c r="G13" i="36"/>
  <c r="J13" i="36"/>
  <c r="E13" i="36"/>
  <c r="B13" i="36"/>
  <c r="J12" i="36"/>
  <c r="I12" i="36"/>
  <c r="G12" i="36"/>
  <c r="E12" i="36"/>
  <c r="B12" i="36"/>
  <c r="I11" i="36"/>
  <c r="G11" i="36"/>
  <c r="J11" i="36"/>
  <c r="E11" i="36"/>
  <c r="B11" i="36"/>
  <c r="I10" i="36"/>
  <c r="G10" i="36"/>
  <c r="J10" i="36"/>
  <c r="E10" i="36"/>
  <c r="B10" i="36"/>
  <c r="I7" i="36"/>
  <c r="G7" i="36"/>
  <c r="J7" i="36"/>
  <c r="E7" i="36"/>
  <c r="B7" i="36"/>
  <c r="I6" i="36"/>
  <c r="G6" i="36"/>
  <c r="J6" i="36"/>
  <c r="E6" i="36"/>
  <c r="B6" i="36"/>
  <c r="I5" i="36"/>
  <c r="G5" i="36"/>
  <c r="J5" i="36"/>
  <c r="E5" i="36"/>
  <c r="B5" i="36"/>
  <c r="I4" i="36"/>
  <c r="G4" i="36"/>
  <c r="J4" i="36"/>
  <c r="E4" i="36"/>
  <c r="B4" i="36"/>
  <c r="H33" i="35"/>
  <c r="J32" i="35"/>
  <c r="I32" i="35"/>
  <c r="G32" i="35"/>
  <c r="E32" i="35"/>
  <c r="B32" i="35"/>
  <c r="J31" i="35"/>
  <c r="I31" i="35"/>
  <c r="E31" i="35"/>
  <c r="J30" i="35"/>
  <c r="E30" i="35"/>
  <c r="B30" i="35"/>
  <c r="J29" i="35"/>
  <c r="I29" i="35"/>
  <c r="G29" i="35"/>
  <c r="E29" i="35"/>
  <c r="B29" i="35"/>
  <c r="I28" i="35"/>
  <c r="G28" i="35"/>
  <c r="J28" i="35"/>
  <c r="E28" i="35"/>
  <c r="B28" i="35"/>
  <c r="J27" i="35"/>
  <c r="I27" i="35"/>
  <c r="G27" i="35"/>
  <c r="E27" i="35"/>
  <c r="B27" i="35"/>
  <c r="I26" i="35"/>
  <c r="G26" i="35"/>
  <c r="J26" i="35"/>
  <c r="E26" i="35"/>
  <c r="B26" i="35"/>
  <c r="I25" i="35"/>
  <c r="G25" i="35"/>
  <c r="J25" i="35"/>
  <c r="E25" i="35"/>
  <c r="B25" i="35"/>
  <c r="I24" i="35"/>
  <c r="G24" i="35"/>
  <c r="J24" i="35"/>
  <c r="E24" i="35"/>
  <c r="B24" i="35"/>
  <c r="I23" i="35"/>
  <c r="G23" i="35"/>
  <c r="J23" i="35"/>
  <c r="E23" i="35"/>
  <c r="B23" i="35"/>
  <c r="H14" i="35"/>
  <c r="I13" i="35"/>
  <c r="G13" i="35"/>
  <c r="J13" i="35"/>
  <c r="E13" i="35"/>
  <c r="B13" i="35"/>
  <c r="I12" i="35"/>
  <c r="G12" i="35"/>
  <c r="J12" i="35"/>
  <c r="E12" i="35"/>
  <c r="B12" i="35"/>
  <c r="I11" i="35"/>
  <c r="G11" i="35"/>
  <c r="J11" i="35"/>
  <c r="E11" i="35"/>
  <c r="B11" i="35"/>
  <c r="I10" i="35"/>
  <c r="G10" i="35"/>
  <c r="J10" i="35"/>
  <c r="E10" i="35"/>
  <c r="B10" i="35"/>
  <c r="I7" i="35"/>
  <c r="G7" i="35"/>
  <c r="J7" i="35"/>
  <c r="E7" i="35"/>
  <c r="B7" i="35"/>
  <c r="I6" i="35"/>
  <c r="G6" i="35"/>
  <c r="J6" i="35"/>
  <c r="E6" i="35"/>
  <c r="B6" i="35"/>
  <c r="I5" i="35"/>
  <c r="G5" i="35"/>
  <c r="J5" i="35"/>
  <c r="E5" i="35"/>
  <c r="B5" i="35"/>
  <c r="I4" i="35"/>
  <c r="G4" i="35"/>
  <c r="E4" i="35"/>
  <c r="B4" i="35"/>
  <c r="H33" i="34"/>
  <c r="I32" i="34"/>
  <c r="G32" i="34"/>
  <c r="J32" i="34"/>
  <c r="E32" i="34"/>
  <c r="B32" i="34"/>
  <c r="J31" i="34"/>
  <c r="I31" i="34"/>
  <c r="E31" i="34"/>
  <c r="J30" i="34"/>
  <c r="E30" i="34"/>
  <c r="B30" i="34"/>
  <c r="I29" i="34"/>
  <c r="G29" i="34"/>
  <c r="J29" i="34"/>
  <c r="E29" i="34"/>
  <c r="B29" i="34"/>
  <c r="I28" i="34"/>
  <c r="G28" i="34"/>
  <c r="J28" i="34"/>
  <c r="E28" i="34"/>
  <c r="B28" i="34"/>
  <c r="I27" i="34"/>
  <c r="G27" i="34"/>
  <c r="J27" i="34"/>
  <c r="E27" i="34"/>
  <c r="B27" i="34"/>
  <c r="J26" i="34"/>
  <c r="I26" i="34"/>
  <c r="G26" i="34"/>
  <c r="E26" i="34"/>
  <c r="B26" i="34"/>
  <c r="I25" i="34"/>
  <c r="G25" i="34"/>
  <c r="J25" i="34"/>
  <c r="E25" i="34"/>
  <c r="B25" i="34"/>
  <c r="I24" i="34"/>
  <c r="G24" i="34"/>
  <c r="J24" i="34"/>
  <c r="E24" i="34"/>
  <c r="B24" i="34"/>
  <c r="I23" i="34"/>
  <c r="G23" i="34"/>
  <c r="J23" i="34"/>
  <c r="E23" i="34"/>
  <c r="B23" i="34"/>
  <c r="H14" i="34"/>
  <c r="I13" i="34"/>
  <c r="G13" i="34"/>
  <c r="J13" i="34"/>
  <c r="E13" i="34"/>
  <c r="B13" i="34"/>
  <c r="I12" i="34"/>
  <c r="G12" i="34"/>
  <c r="J12" i="34"/>
  <c r="E12" i="34"/>
  <c r="B12" i="34"/>
  <c r="I11" i="34"/>
  <c r="G11" i="34"/>
  <c r="J11" i="34"/>
  <c r="E11" i="34"/>
  <c r="B11" i="34"/>
  <c r="I10" i="34"/>
  <c r="G10" i="34"/>
  <c r="J10" i="34"/>
  <c r="E10" i="34"/>
  <c r="B10" i="34"/>
  <c r="I7" i="34"/>
  <c r="G7" i="34"/>
  <c r="J7" i="34"/>
  <c r="E7" i="34"/>
  <c r="B7" i="34"/>
  <c r="I6" i="34"/>
  <c r="G6" i="34"/>
  <c r="J6" i="34"/>
  <c r="E6" i="34"/>
  <c r="B6" i="34"/>
  <c r="I5" i="34"/>
  <c r="G5" i="34"/>
  <c r="E5" i="34"/>
  <c r="B5" i="34"/>
  <c r="I4" i="34"/>
  <c r="G4" i="34"/>
  <c r="J4" i="34"/>
  <c r="E4" i="34"/>
  <c r="B4" i="34"/>
  <c r="H33" i="33"/>
  <c r="I32" i="33"/>
  <c r="G32" i="33"/>
  <c r="J32" i="33"/>
  <c r="E32" i="33"/>
  <c r="B32" i="33"/>
  <c r="J31" i="33"/>
  <c r="I31" i="33"/>
  <c r="E31" i="33"/>
  <c r="J30" i="33"/>
  <c r="E30" i="33"/>
  <c r="B30" i="33"/>
  <c r="I29" i="33"/>
  <c r="G29" i="33"/>
  <c r="J29" i="33"/>
  <c r="E29" i="33"/>
  <c r="B29" i="33"/>
  <c r="I28" i="33"/>
  <c r="G28" i="33"/>
  <c r="J28" i="33"/>
  <c r="E28" i="33"/>
  <c r="B28" i="33"/>
  <c r="I27" i="33"/>
  <c r="G27" i="33"/>
  <c r="J27" i="33"/>
  <c r="E27" i="33"/>
  <c r="B27" i="33"/>
  <c r="I26" i="33"/>
  <c r="G26" i="33"/>
  <c r="J26" i="33"/>
  <c r="E26" i="33"/>
  <c r="B26" i="33"/>
  <c r="I25" i="33"/>
  <c r="G25" i="33"/>
  <c r="J25" i="33"/>
  <c r="E25" i="33"/>
  <c r="B25" i="33"/>
  <c r="I24" i="33"/>
  <c r="G24" i="33"/>
  <c r="J24" i="33"/>
  <c r="E24" i="33"/>
  <c r="B24" i="33"/>
  <c r="I23" i="33"/>
  <c r="G23" i="33"/>
  <c r="J23" i="33"/>
  <c r="E23" i="33"/>
  <c r="B23" i="33"/>
  <c r="H14" i="33"/>
  <c r="J13" i="33"/>
  <c r="I13" i="33"/>
  <c r="G13" i="33"/>
  <c r="E13" i="33"/>
  <c r="B13" i="33"/>
  <c r="I12" i="33"/>
  <c r="G12" i="33"/>
  <c r="J12" i="33"/>
  <c r="E12" i="33"/>
  <c r="B12" i="33"/>
  <c r="I11" i="33"/>
  <c r="G11" i="33"/>
  <c r="J11" i="33"/>
  <c r="E11" i="33"/>
  <c r="B11" i="33"/>
  <c r="I10" i="33"/>
  <c r="G10" i="33"/>
  <c r="J10" i="33"/>
  <c r="E10" i="33"/>
  <c r="B10" i="33"/>
  <c r="I7" i="33"/>
  <c r="G7" i="33"/>
  <c r="J7" i="33"/>
  <c r="E7" i="33"/>
  <c r="B7" i="33"/>
  <c r="I6" i="33"/>
  <c r="G6" i="33"/>
  <c r="J6" i="33"/>
  <c r="E6" i="33"/>
  <c r="B6" i="33"/>
  <c r="J5" i="33"/>
  <c r="I5" i="33"/>
  <c r="G5" i="33"/>
  <c r="E5" i="33"/>
  <c r="B5" i="33"/>
  <c r="I4" i="33"/>
  <c r="G4" i="33"/>
  <c r="E4" i="33"/>
  <c r="B4" i="33"/>
  <c r="H33" i="32"/>
  <c r="I32" i="32"/>
  <c r="G32" i="32"/>
  <c r="J32" i="32"/>
  <c r="E32" i="32"/>
  <c r="B32" i="32"/>
  <c r="J31" i="32"/>
  <c r="I31" i="32"/>
  <c r="J30" i="32"/>
  <c r="E30" i="32"/>
  <c r="B30" i="32"/>
  <c r="I29" i="32"/>
  <c r="G29" i="32"/>
  <c r="J29" i="32"/>
  <c r="E29" i="32"/>
  <c r="B29" i="32"/>
  <c r="I28" i="32"/>
  <c r="G28" i="32"/>
  <c r="J28" i="32"/>
  <c r="E28" i="32"/>
  <c r="B28" i="32"/>
  <c r="I27" i="32"/>
  <c r="G27" i="32"/>
  <c r="J27" i="32"/>
  <c r="E27" i="32"/>
  <c r="B27" i="32"/>
  <c r="I26" i="32"/>
  <c r="G26" i="32"/>
  <c r="J26" i="32"/>
  <c r="E26" i="32"/>
  <c r="B26" i="32"/>
  <c r="I25" i="32"/>
  <c r="G25" i="32"/>
  <c r="J25" i="32"/>
  <c r="E25" i="32"/>
  <c r="B25" i="32"/>
  <c r="I24" i="32"/>
  <c r="G24" i="32"/>
  <c r="J24" i="32"/>
  <c r="E24" i="32"/>
  <c r="B24" i="32"/>
  <c r="I23" i="32"/>
  <c r="G23" i="32"/>
  <c r="J23" i="32"/>
  <c r="E23" i="32"/>
  <c r="B23" i="32"/>
  <c r="H14" i="32"/>
  <c r="J13" i="32"/>
  <c r="I13" i="32"/>
  <c r="G13" i="32"/>
  <c r="E13" i="32"/>
  <c r="B13" i="32"/>
  <c r="I12" i="32"/>
  <c r="G12" i="32"/>
  <c r="J12" i="32"/>
  <c r="E12" i="32"/>
  <c r="B12" i="32"/>
  <c r="I11" i="32"/>
  <c r="G11" i="32"/>
  <c r="J11" i="32"/>
  <c r="E11" i="32"/>
  <c r="B11" i="32"/>
  <c r="I10" i="32"/>
  <c r="G10" i="32"/>
  <c r="J10" i="32"/>
  <c r="E10" i="32"/>
  <c r="B10" i="32"/>
  <c r="I7" i="32"/>
  <c r="G7" i="32"/>
  <c r="J7" i="32"/>
  <c r="E7" i="32"/>
  <c r="B7" i="32"/>
  <c r="I6" i="32"/>
  <c r="G6" i="32"/>
  <c r="J6" i="32"/>
  <c r="E6" i="32"/>
  <c r="B6" i="32"/>
  <c r="J5" i="32"/>
  <c r="I5" i="32"/>
  <c r="G5" i="32"/>
  <c r="E5" i="32"/>
  <c r="B5" i="32"/>
  <c r="I4" i="32"/>
  <c r="G4" i="32"/>
  <c r="J4" i="32"/>
  <c r="E4" i="32"/>
  <c r="B4" i="32"/>
  <c r="H33" i="31"/>
  <c r="I32" i="31"/>
  <c r="G32" i="31"/>
  <c r="J32" i="31"/>
  <c r="E32" i="31"/>
  <c r="B32" i="31"/>
  <c r="J31" i="31"/>
  <c r="I31" i="31"/>
  <c r="E31" i="31"/>
  <c r="J30" i="31"/>
  <c r="E30" i="31"/>
  <c r="B30" i="31"/>
  <c r="I29" i="31"/>
  <c r="G29" i="31"/>
  <c r="J29" i="31"/>
  <c r="E29" i="31"/>
  <c r="B29" i="31"/>
  <c r="J28" i="31"/>
  <c r="I28" i="31"/>
  <c r="G28" i="31"/>
  <c r="E28" i="31"/>
  <c r="B28" i="31"/>
  <c r="I27" i="31"/>
  <c r="G27" i="31"/>
  <c r="J27" i="31"/>
  <c r="E27" i="31"/>
  <c r="B27" i="31"/>
  <c r="I26" i="31"/>
  <c r="G26" i="31"/>
  <c r="J26" i="31"/>
  <c r="E26" i="31"/>
  <c r="B26" i="31"/>
  <c r="I25" i="31"/>
  <c r="G25" i="31"/>
  <c r="J25" i="31"/>
  <c r="E25" i="31"/>
  <c r="B25" i="31"/>
  <c r="I24" i="31"/>
  <c r="G24" i="31"/>
  <c r="J24" i="31"/>
  <c r="E24" i="31"/>
  <c r="B24" i="31"/>
  <c r="I23" i="31"/>
  <c r="G23" i="31"/>
  <c r="J23" i="31"/>
  <c r="E23" i="31"/>
  <c r="B23" i="31"/>
  <c r="H14" i="31"/>
  <c r="I13" i="31"/>
  <c r="G13" i="31"/>
  <c r="J13" i="31"/>
  <c r="E13" i="31"/>
  <c r="B13" i="31"/>
  <c r="I12" i="31"/>
  <c r="G12" i="31"/>
  <c r="J12" i="31"/>
  <c r="E12" i="31"/>
  <c r="B12" i="31"/>
  <c r="I11" i="31"/>
  <c r="G11" i="31"/>
  <c r="J11" i="31"/>
  <c r="E11" i="31"/>
  <c r="B11" i="31"/>
  <c r="I10" i="31"/>
  <c r="G10" i="31"/>
  <c r="J10" i="31"/>
  <c r="E10" i="31"/>
  <c r="B10" i="31"/>
  <c r="I7" i="31"/>
  <c r="G7" i="31"/>
  <c r="J7" i="31"/>
  <c r="E7" i="31"/>
  <c r="B7" i="31"/>
  <c r="J6" i="31"/>
  <c r="I6" i="31"/>
  <c r="G6" i="31"/>
  <c r="E6" i="31"/>
  <c r="B6" i="31"/>
  <c r="I5" i="31"/>
  <c r="G5" i="31"/>
  <c r="E5" i="31"/>
  <c r="B5" i="31"/>
  <c r="I4" i="31"/>
  <c r="G4" i="31"/>
  <c r="J4" i="31"/>
  <c r="E4" i="31"/>
  <c r="B4" i="31"/>
  <c r="H33" i="30"/>
  <c r="I32" i="30"/>
  <c r="G32" i="30"/>
  <c r="J32" i="30"/>
  <c r="E32" i="30"/>
  <c r="B32" i="30"/>
  <c r="J31" i="30"/>
  <c r="I31" i="30"/>
  <c r="E31" i="30"/>
  <c r="J30" i="30"/>
  <c r="E30" i="30"/>
  <c r="B30" i="30"/>
  <c r="I29" i="30"/>
  <c r="G29" i="30"/>
  <c r="J29" i="30"/>
  <c r="E29" i="30"/>
  <c r="B29" i="30"/>
  <c r="I28" i="30"/>
  <c r="G28" i="30"/>
  <c r="J28" i="30"/>
  <c r="E28" i="30"/>
  <c r="B28" i="30"/>
  <c r="I27" i="30"/>
  <c r="G27" i="30"/>
  <c r="J27" i="30"/>
  <c r="E27" i="30"/>
  <c r="B27" i="30"/>
  <c r="J26" i="30"/>
  <c r="I26" i="30"/>
  <c r="G26" i="30"/>
  <c r="E26" i="30"/>
  <c r="B26" i="30"/>
  <c r="I25" i="30"/>
  <c r="G25" i="30"/>
  <c r="J25" i="30"/>
  <c r="E25" i="30"/>
  <c r="B25" i="30"/>
  <c r="I24" i="30"/>
  <c r="G24" i="30"/>
  <c r="J24" i="30"/>
  <c r="E24" i="30"/>
  <c r="B24" i="30"/>
  <c r="I23" i="30"/>
  <c r="G23" i="30"/>
  <c r="J23" i="30"/>
  <c r="E23" i="30"/>
  <c r="B23" i="30"/>
  <c r="H14" i="30"/>
  <c r="I13" i="30"/>
  <c r="G13" i="30"/>
  <c r="J13" i="30"/>
  <c r="E13" i="30"/>
  <c r="B13" i="30"/>
  <c r="I12" i="30"/>
  <c r="G12" i="30"/>
  <c r="J12" i="30"/>
  <c r="E12" i="30"/>
  <c r="B12" i="30"/>
  <c r="I11" i="30"/>
  <c r="G11" i="30"/>
  <c r="J11" i="30"/>
  <c r="E11" i="30"/>
  <c r="B11" i="30"/>
  <c r="I10" i="30"/>
  <c r="G10" i="30"/>
  <c r="J10" i="30"/>
  <c r="E10" i="30"/>
  <c r="B10" i="30"/>
  <c r="I7" i="30"/>
  <c r="G7" i="30"/>
  <c r="J7" i="30"/>
  <c r="E7" i="30"/>
  <c r="B7" i="30"/>
  <c r="J6" i="30"/>
  <c r="I6" i="30"/>
  <c r="G6" i="30"/>
  <c r="E6" i="30"/>
  <c r="B6" i="30"/>
  <c r="I5" i="30"/>
  <c r="G5" i="30"/>
  <c r="J5" i="30"/>
  <c r="E5" i="30"/>
  <c r="B5" i="30"/>
  <c r="I4" i="30"/>
  <c r="G4" i="30"/>
  <c r="J4" i="30"/>
  <c r="E4" i="30"/>
  <c r="B4" i="30"/>
  <c r="H33" i="29"/>
  <c r="I32" i="29"/>
  <c r="G32" i="29"/>
  <c r="J32" i="29"/>
  <c r="E32" i="29"/>
  <c r="B32" i="29"/>
  <c r="J31" i="29"/>
  <c r="I31" i="29"/>
  <c r="E31" i="29"/>
  <c r="J30" i="29"/>
  <c r="E30" i="29"/>
  <c r="B30" i="29"/>
  <c r="J29" i="29"/>
  <c r="I29" i="29"/>
  <c r="G29" i="29"/>
  <c r="E29" i="29"/>
  <c r="B29" i="29"/>
  <c r="I28" i="29"/>
  <c r="G28" i="29"/>
  <c r="J28" i="29"/>
  <c r="E28" i="29"/>
  <c r="B28" i="29"/>
  <c r="I27" i="29"/>
  <c r="G27" i="29"/>
  <c r="J27" i="29"/>
  <c r="E27" i="29"/>
  <c r="B27" i="29"/>
  <c r="I26" i="29"/>
  <c r="G26" i="29"/>
  <c r="J26" i="29"/>
  <c r="E26" i="29"/>
  <c r="B26" i="29"/>
  <c r="I25" i="29"/>
  <c r="G25" i="29"/>
  <c r="J25" i="29"/>
  <c r="E25" i="29"/>
  <c r="B25" i="29"/>
  <c r="I24" i="29"/>
  <c r="G24" i="29"/>
  <c r="J24" i="29"/>
  <c r="E24" i="29"/>
  <c r="B24" i="29"/>
  <c r="J23" i="29"/>
  <c r="I23" i="29"/>
  <c r="G23" i="29"/>
  <c r="E23" i="29"/>
  <c r="B23" i="29"/>
  <c r="H14" i="29"/>
  <c r="I13" i="29"/>
  <c r="G13" i="29"/>
  <c r="J13" i="29"/>
  <c r="E13" i="29"/>
  <c r="B13" i="29"/>
  <c r="I12" i="29"/>
  <c r="G12" i="29"/>
  <c r="J12" i="29"/>
  <c r="E12" i="29"/>
  <c r="B12" i="29"/>
  <c r="I11" i="29"/>
  <c r="G11" i="29"/>
  <c r="J11" i="29"/>
  <c r="E11" i="29"/>
  <c r="B11" i="29"/>
  <c r="I10" i="29"/>
  <c r="G10" i="29"/>
  <c r="J10" i="29"/>
  <c r="E10" i="29"/>
  <c r="B10" i="29"/>
  <c r="I7" i="29"/>
  <c r="G7" i="29"/>
  <c r="J7" i="29"/>
  <c r="E7" i="29"/>
  <c r="B7" i="29"/>
  <c r="I6" i="29"/>
  <c r="G6" i="29"/>
  <c r="J6" i="29"/>
  <c r="E6" i="29"/>
  <c r="B6" i="29"/>
  <c r="I5" i="29"/>
  <c r="G5" i="29"/>
  <c r="J5" i="29"/>
  <c r="E5" i="29"/>
  <c r="B5" i="29"/>
  <c r="J4" i="29"/>
  <c r="I4" i="29"/>
  <c r="G4" i="29"/>
  <c r="E4" i="29"/>
  <c r="B4" i="29"/>
  <c r="H33" i="28"/>
  <c r="I32" i="28"/>
  <c r="G32" i="28"/>
  <c r="J32" i="28"/>
  <c r="E32" i="28"/>
  <c r="B32" i="28"/>
  <c r="J31" i="28"/>
  <c r="I31" i="28"/>
  <c r="E31" i="28"/>
  <c r="J30" i="28"/>
  <c r="E30" i="28"/>
  <c r="B30" i="28"/>
  <c r="I29" i="28"/>
  <c r="G29" i="28"/>
  <c r="J29" i="28"/>
  <c r="E29" i="28"/>
  <c r="B29" i="28"/>
  <c r="I28" i="28"/>
  <c r="G28" i="28"/>
  <c r="J28" i="28"/>
  <c r="E28" i="28"/>
  <c r="B28" i="28"/>
  <c r="I27" i="28"/>
  <c r="G27" i="28"/>
  <c r="J27" i="28"/>
  <c r="E27" i="28"/>
  <c r="B27" i="28"/>
  <c r="I26" i="28"/>
  <c r="G26" i="28"/>
  <c r="J26" i="28"/>
  <c r="E26" i="28"/>
  <c r="B26" i="28"/>
  <c r="I25" i="28"/>
  <c r="G25" i="28"/>
  <c r="J25" i="28"/>
  <c r="E25" i="28"/>
  <c r="B25" i="28"/>
  <c r="I24" i="28"/>
  <c r="G24" i="28"/>
  <c r="J24" i="28"/>
  <c r="E24" i="28"/>
  <c r="B24" i="28"/>
  <c r="I23" i="28"/>
  <c r="G23" i="28"/>
  <c r="J23" i="28"/>
  <c r="E23" i="28"/>
  <c r="B23" i="28"/>
  <c r="H14" i="28"/>
  <c r="I13" i="28"/>
  <c r="G13" i="28"/>
  <c r="J13" i="28"/>
  <c r="E13" i="28"/>
  <c r="B13" i="28"/>
  <c r="I12" i="28"/>
  <c r="G12" i="28"/>
  <c r="J12" i="28"/>
  <c r="E12" i="28"/>
  <c r="B12" i="28"/>
  <c r="I11" i="28"/>
  <c r="G11" i="28"/>
  <c r="J11" i="28"/>
  <c r="E11" i="28"/>
  <c r="B11" i="28"/>
  <c r="I10" i="28"/>
  <c r="G10" i="28"/>
  <c r="J10" i="28"/>
  <c r="E10" i="28"/>
  <c r="B10" i="28"/>
  <c r="I7" i="28"/>
  <c r="G7" i="28"/>
  <c r="J7" i="28"/>
  <c r="E7" i="28"/>
  <c r="B7" i="28"/>
  <c r="I6" i="28"/>
  <c r="G6" i="28"/>
  <c r="J6" i="28"/>
  <c r="E6" i="28"/>
  <c r="B6" i="28"/>
  <c r="I5" i="28"/>
  <c r="G5" i="28"/>
  <c r="E5" i="28"/>
  <c r="B5" i="28"/>
  <c r="J4" i="28"/>
  <c r="I4" i="28"/>
  <c r="G4" i="28"/>
  <c r="E4" i="28"/>
  <c r="B4" i="28"/>
  <c r="H33" i="27"/>
  <c r="I32" i="27"/>
  <c r="G32" i="27"/>
  <c r="J32" i="27"/>
  <c r="E32" i="27"/>
  <c r="B32" i="27"/>
  <c r="J31" i="27"/>
  <c r="I31" i="27"/>
  <c r="E31" i="27"/>
  <c r="J30" i="27"/>
  <c r="E30" i="27"/>
  <c r="B30" i="27"/>
  <c r="I29" i="27"/>
  <c r="G29" i="27"/>
  <c r="J29" i="27"/>
  <c r="E29" i="27"/>
  <c r="B29" i="27"/>
  <c r="I28" i="27"/>
  <c r="G28" i="27"/>
  <c r="J28" i="27"/>
  <c r="E28" i="27"/>
  <c r="B28" i="27"/>
  <c r="I27" i="27"/>
  <c r="G27" i="27"/>
  <c r="J27" i="27"/>
  <c r="E27" i="27"/>
  <c r="B27" i="27"/>
  <c r="I26" i="27"/>
  <c r="G26" i="27"/>
  <c r="J26" i="27"/>
  <c r="E26" i="27"/>
  <c r="B26" i="27"/>
  <c r="I25" i="27"/>
  <c r="G25" i="27"/>
  <c r="J25" i="27"/>
  <c r="E25" i="27"/>
  <c r="B25" i="27"/>
  <c r="I24" i="27"/>
  <c r="G24" i="27"/>
  <c r="J24" i="27"/>
  <c r="E24" i="27"/>
  <c r="B24" i="27"/>
  <c r="I23" i="27"/>
  <c r="G23" i="27"/>
  <c r="J23" i="27"/>
  <c r="E23" i="27"/>
  <c r="B23" i="27"/>
  <c r="H14" i="27"/>
  <c r="I13" i="27"/>
  <c r="G13" i="27"/>
  <c r="J13" i="27"/>
  <c r="E13" i="27"/>
  <c r="B13" i="27"/>
  <c r="I12" i="27"/>
  <c r="G12" i="27"/>
  <c r="J12" i="27"/>
  <c r="E12" i="27"/>
  <c r="B12" i="27"/>
  <c r="I11" i="27"/>
  <c r="G11" i="27"/>
  <c r="J11" i="27"/>
  <c r="E11" i="27"/>
  <c r="B11" i="27"/>
  <c r="I10" i="27"/>
  <c r="G10" i="27"/>
  <c r="J10" i="27"/>
  <c r="E10" i="27"/>
  <c r="B10" i="27"/>
  <c r="I7" i="27"/>
  <c r="G7" i="27"/>
  <c r="J7" i="27"/>
  <c r="E7" i="27"/>
  <c r="B7" i="27"/>
  <c r="I6" i="27"/>
  <c r="G6" i="27"/>
  <c r="J6" i="27"/>
  <c r="E6" i="27"/>
  <c r="B6" i="27"/>
  <c r="I5" i="27"/>
  <c r="G5" i="27"/>
  <c r="E5" i="27"/>
  <c r="B5" i="27"/>
  <c r="J4" i="27"/>
  <c r="I4" i="27"/>
  <c r="G4" i="27"/>
  <c r="E4" i="27"/>
  <c r="B4" i="27"/>
  <c r="H34" i="36" l="1"/>
  <c r="H34" i="35"/>
  <c r="F48" i="37"/>
  <c r="H34" i="27"/>
  <c r="H34" i="30"/>
  <c r="H34" i="29"/>
  <c r="H34" i="31"/>
  <c r="H34" i="34"/>
  <c r="F33" i="28"/>
  <c r="O41" i="3"/>
  <c r="J33" i="27"/>
  <c r="M41" i="3" s="1"/>
  <c r="F33" i="27"/>
  <c r="F14" i="27"/>
  <c r="J5" i="27"/>
  <c r="J14" i="27" s="1"/>
  <c r="L41" i="3" s="1"/>
  <c r="O42" i="3"/>
  <c r="H34" i="28"/>
  <c r="J33" i="28"/>
  <c r="M42" i="3" s="1"/>
  <c r="F14" i="28"/>
  <c r="J5" i="28"/>
  <c r="J14" i="28" s="1"/>
  <c r="L42" i="3" s="1"/>
  <c r="O43" i="3"/>
  <c r="F33" i="29"/>
  <c r="J33" i="29"/>
  <c r="M43" i="3" s="1"/>
  <c r="J14" i="29"/>
  <c r="L43" i="3" s="1"/>
  <c r="F14" i="29"/>
  <c r="O44" i="3"/>
  <c r="J33" i="30"/>
  <c r="M44" i="3" s="1"/>
  <c r="F33" i="30"/>
  <c r="J14" i="30"/>
  <c r="F14" i="30"/>
  <c r="O45" i="3"/>
  <c r="J33" i="31"/>
  <c r="M45" i="3" s="1"/>
  <c r="F33" i="31"/>
  <c r="F14" i="31"/>
  <c r="J5" i="31"/>
  <c r="J14" i="31" s="1"/>
  <c r="L45" i="3" s="1"/>
  <c r="O46" i="3"/>
  <c r="H34" i="32"/>
  <c r="F33" i="32"/>
  <c r="J33" i="32"/>
  <c r="M46" i="3" s="1"/>
  <c r="J14" i="32"/>
  <c r="L46" i="3" s="1"/>
  <c r="F14" i="32"/>
  <c r="O47" i="3"/>
  <c r="H34" i="33"/>
  <c r="F33" i="33"/>
  <c r="J33" i="33"/>
  <c r="M47" i="3" s="1"/>
  <c r="F14" i="33"/>
  <c r="J4" i="33"/>
  <c r="J14" i="33" s="1"/>
  <c r="L47" i="3" s="1"/>
  <c r="O48" i="3"/>
  <c r="J33" i="34"/>
  <c r="M48" i="3" s="1"/>
  <c r="F33" i="34"/>
  <c r="F14" i="34"/>
  <c r="J5" i="34"/>
  <c r="J14" i="34" s="1"/>
  <c r="L48" i="3" s="1"/>
  <c r="O49" i="3"/>
  <c r="F33" i="35"/>
  <c r="J33" i="35"/>
  <c r="M49" i="3" s="1"/>
  <c r="F14" i="35"/>
  <c r="J4" i="35"/>
  <c r="J14" i="35" s="1"/>
  <c r="L49" i="3" s="1"/>
  <c r="O50" i="3"/>
  <c r="F33" i="36"/>
  <c r="J33" i="36"/>
  <c r="M50" i="3" s="1"/>
  <c r="F14" i="36"/>
  <c r="J14" i="36"/>
  <c r="L50" i="3" s="1"/>
  <c r="J35" i="37"/>
  <c r="F33" i="37"/>
  <c r="J33" i="37"/>
  <c r="M51" i="3" s="1"/>
  <c r="F14" i="37"/>
  <c r="J14" i="37"/>
  <c r="L51" i="3" s="1"/>
  <c r="J48" i="37" l="1"/>
  <c r="O51" i="3" s="1"/>
  <c r="F34" i="28"/>
  <c r="J34" i="30"/>
  <c r="N44" i="3" s="1"/>
  <c r="L44" i="3"/>
  <c r="F34" i="27"/>
  <c r="F34" i="30"/>
  <c r="J34" i="31"/>
  <c r="N45" i="3" s="1"/>
  <c r="F34" i="36"/>
  <c r="J34" i="27"/>
  <c r="N41" i="3" s="1"/>
  <c r="J34" i="28"/>
  <c r="N42" i="3" s="1"/>
  <c r="F34" i="29"/>
  <c r="J34" i="29"/>
  <c r="N43" i="3" s="1"/>
  <c r="F34" i="31"/>
  <c r="F34" i="32"/>
  <c r="J34" i="32"/>
  <c r="N46" i="3" s="1"/>
  <c r="F34" i="33"/>
  <c r="J34" i="33"/>
  <c r="N47" i="3" s="1"/>
  <c r="J34" i="34"/>
  <c r="N48" i="3" s="1"/>
  <c r="F34" i="34"/>
  <c r="F34" i="35"/>
  <c r="J34" i="35"/>
  <c r="N49" i="3" s="1"/>
  <c r="J34" i="36"/>
  <c r="N50" i="3" s="1"/>
  <c r="F34" i="37"/>
  <c r="J34" i="37"/>
  <c r="N51" i="3" s="1"/>
  <c r="E17" i="1" l="1"/>
  <c r="C36" i="38"/>
  <c r="C27" i="38" l="1"/>
  <c r="C12" i="38"/>
  <c r="J20" i="1"/>
  <c r="I20" i="1"/>
  <c r="G20" i="1"/>
  <c r="E20" i="1"/>
  <c r="E4" i="1"/>
  <c r="E31" i="1" l="1"/>
  <c r="E30" i="1"/>
  <c r="E32" i="1"/>
  <c r="J31" i="1" l="1"/>
  <c r="J30" i="1"/>
  <c r="I31" i="1"/>
  <c r="J18" i="1" l="1"/>
  <c r="J17" i="1"/>
  <c r="J19" i="1"/>
  <c r="J6" i="1" l="1"/>
  <c r="J5" i="1"/>
  <c r="J32" i="1"/>
  <c r="J29" i="1"/>
  <c r="G32" i="1"/>
  <c r="O40" i="3" l="1"/>
  <c r="O39" i="3" s="1"/>
  <c r="I6" i="1"/>
  <c r="G6" i="1"/>
  <c r="E6" i="1"/>
  <c r="G5" i="1"/>
  <c r="E5" i="1"/>
  <c r="B6" i="1"/>
  <c r="B5" i="1"/>
  <c r="I5" i="1"/>
  <c r="E29" i="1"/>
  <c r="B32" i="1"/>
  <c r="B30" i="1"/>
  <c r="B29" i="1"/>
  <c r="B28" i="1"/>
  <c r="B27" i="1"/>
  <c r="B26" i="1"/>
  <c r="B25" i="1"/>
  <c r="B24" i="1"/>
  <c r="B23" i="1"/>
  <c r="B21" i="1"/>
  <c r="B19" i="1"/>
  <c r="B17" i="1"/>
  <c r="B13" i="1"/>
  <c r="B12" i="1"/>
  <c r="B11" i="1"/>
  <c r="B10" i="1"/>
  <c r="B7" i="1"/>
  <c r="B4" i="1"/>
  <c r="J4" i="1"/>
  <c r="H33" i="1" l="1"/>
  <c r="F33" i="1"/>
  <c r="I32" i="1"/>
  <c r="I28" i="1"/>
  <c r="E28" i="1"/>
  <c r="I29" i="1"/>
  <c r="G29" i="1"/>
  <c r="J28" i="1"/>
  <c r="G28" i="1"/>
  <c r="J27" i="1"/>
  <c r="I27" i="1"/>
  <c r="G27" i="1"/>
  <c r="E27" i="1"/>
  <c r="J26" i="1"/>
  <c r="I26" i="1"/>
  <c r="G26" i="1"/>
  <c r="E26" i="1"/>
  <c r="J25" i="1"/>
  <c r="I25" i="1"/>
  <c r="G25" i="1"/>
  <c r="E25" i="1"/>
  <c r="J24" i="1"/>
  <c r="I24" i="1"/>
  <c r="G24" i="1"/>
  <c r="E24" i="1"/>
  <c r="J23" i="1"/>
  <c r="I23" i="1"/>
  <c r="G23" i="1"/>
  <c r="E23" i="1"/>
  <c r="J21" i="1"/>
  <c r="I21" i="1"/>
  <c r="G21" i="1"/>
  <c r="E21" i="1"/>
  <c r="I19" i="1"/>
  <c r="J10" i="1"/>
  <c r="G19" i="1"/>
  <c r="E19" i="1"/>
  <c r="I18" i="1"/>
  <c r="G18" i="1"/>
  <c r="E18" i="1"/>
  <c r="I17" i="1"/>
  <c r="G17" i="1"/>
  <c r="E13" i="1"/>
  <c r="I13" i="1"/>
  <c r="I4" i="1"/>
  <c r="H14" i="1"/>
  <c r="F14" i="1"/>
  <c r="J13" i="1"/>
  <c r="G13" i="1"/>
  <c r="I12" i="1"/>
  <c r="J12" i="1"/>
  <c r="G12" i="1"/>
  <c r="E12" i="1"/>
  <c r="J11" i="1"/>
  <c r="I11" i="1"/>
  <c r="G11" i="1"/>
  <c r="E11" i="1"/>
  <c r="I10" i="1"/>
  <c r="G10" i="1"/>
  <c r="E10" i="1"/>
  <c r="J7" i="1"/>
  <c r="I7" i="1"/>
  <c r="G7" i="1"/>
  <c r="E7" i="1"/>
  <c r="G4" i="1"/>
  <c r="J33" i="1" l="1"/>
  <c r="M40" i="3" s="1"/>
  <c r="M39" i="3" s="1"/>
  <c r="J14" i="1"/>
  <c r="H34" i="1"/>
  <c r="F34" i="1"/>
  <c r="L40" i="3" l="1"/>
  <c r="L39" i="3" s="1"/>
  <c r="J34" i="1"/>
  <c r="N40" i="3" s="1"/>
  <c r="N39" i="3" s="1"/>
</calcChain>
</file>

<file path=xl/sharedStrings.xml><?xml version="1.0" encoding="utf-8"?>
<sst xmlns="http://schemas.openxmlformats.org/spreadsheetml/2006/main" count="588" uniqueCount="299">
  <si>
    <t>Total revenue before COVID-19</t>
  </si>
  <si>
    <t>Revenue</t>
  </si>
  <si>
    <t>Total expenses before COVID-19</t>
  </si>
  <si>
    <t>Net before COVID-19</t>
  </si>
  <si>
    <t>Net change due to COVID-19</t>
  </si>
  <si>
    <t>Does your system receive tax revenue either directly or from a parent agency?</t>
  </si>
  <si>
    <t>Do you have additional revenue streams that have not been identified?</t>
  </si>
  <si>
    <t>Expense changes =</t>
  </si>
  <si>
    <t>Revenue changes =</t>
  </si>
  <si>
    <t>Expenses</t>
  </si>
  <si>
    <t xml:space="preserve">Expense changes = </t>
  </si>
  <si>
    <t>Do you expect a change in your system's revenues?</t>
  </si>
  <si>
    <t>Do you have additional expenses that have not been identified?</t>
  </si>
  <si>
    <t>Cashflow</t>
  </si>
  <si>
    <t>Will you delay pension fund contributions?</t>
  </si>
  <si>
    <t>Do you have a rate stabilization fund?</t>
  </si>
  <si>
    <t>Will you attempt to restructure existing debt?</t>
  </si>
  <si>
    <t>Will you incur new debt?</t>
  </si>
  <si>
    <t>Net Change</t>
  </si>
  <si>
    <t>Do you generate interest income from cash on hand?</t>
  </si>
  <si>
    <t>Do you charge connection/tap fees?</t>
  </si>
  <si>
    <t>Do you sell wholesale water/wastewater treatment?</t>
  </si>
  <si>
    <t>State</t>
  </si>
  <si>
    <t>System Type</t>
  </si>
  <si>
    <t>Units</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</si>
  <si>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</si>
  <si>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</si>
  <si>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</si>
  <si>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</si>
  <si>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</si>
  <si>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</si>
  <si>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</si>
  <si>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</si>
  <si>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</si>
  <si>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</si>
  <si>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</si>
  <si>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</si>
  <si>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</si>
  <si>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</si>
  <si>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</si>
  <si>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</si>
  <si>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</si>
  <si>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</si>
  <si>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</si>
  <si>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</si>
  <si>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</si>
  <si>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</si>
  <si>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</si>
  <si>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</si>
  <si>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</si>
  <si>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</si>
  <si>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</si>
  <si>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</si>
  <si>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</si>
  <si>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</si>
  <si>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</si>
  <si>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</si>
  <si>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</si>
  <si>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</si>
  <si>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</si>
  <si>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</si>
  <si>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</si>
  <si>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</si>
  <si>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</si>
  <si>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</si>
  <si>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</si>
  <si>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</si>
  <si>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</si>
  <si>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</si>
  <si>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</si>
  <si>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</si>
  <si>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</si>
  <si>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</si>
  <si>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</si>
  <si>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</si>
  <si>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Stormwater</t>
  </si>
  <si>
    <t>Do you purchase water for resale?</t>
  </si>
  <si>
    <t>Net since March 2020</t>
  </si>
  <si>
    <t>Total expenses since March 2020</t>
  </si>
  <si>
    <t>DW, WW</t>
  </si>
  <si>
    <t>DW, SW</t>
  </si>
  <si>
    <t>WW, SW</t>
  </si>
  <si>
    <t>DW, WW, SW</t>
  </si>
  <si>
    <t>How to use the tool</t>
  </si>
  <si>
    <t>yellow.</t>
  </si>
  <si>
    <t xml:space="preserve">Drinking Water </t>
  </si>
  <si>
    <t xml:space="preserve">Wastewater </t>
  </si>
  <si>
    <r>
      <t xml:space="preserve">Proceed to </t>
    </r>
    <r>
      <rPr>
        <b/>
        <sz val="11"/>
        <color theme="0"/>
        <rFont val="Calibri Light"/>
        <family val="2"/>
        <scheme val="major"/>
      </rPr>
      <t>Expenses</t>
    </r>
    <r>
      <rPr>
        <sz val="11"/>
        <color theme="0"/>
        <rFont val="Calibri Light"/>
        <family val="2"/>
        <scheme val="major"/>
      </rPr>
      <t xml:space="preserve"> Section</t>
    </r>
  </si>
  <si>
    <t>Have commercial/industrial revenues been impacted?</t>
  </si>
  <si>
    <t>Have residential revenues been impacted?</t>
  </si>
  <si>
    <t>Have your testing expenses changed?</t>
  </si>
  <si>
    <t>Have you incurred new expenses as a result of COVID-19?</t>
  </si>
  <si>
    <r>
      <t xml:space="preserve">Then, in the </t>
    </r>
    <r>
      <rPr>
        <b/>
        <sz val="11"/>
        <color theme="1"/>
        <rFont val="Calibri Light"/>
        <family val="2"/>
        <scheme val="major"/>
      </rPr>
      <t>Cashflow</t>
    </r>
    <r>
      <rPr>
        <sz val="11"/>
        <color theme="1"/>
        <rFont val="Calibri Light"/>
        <family val="2"/>
        <scheme val="major"/>
      </rPr>
      <t xml:space="preserve"> section, apply changes in your utility's cash position that would not be included on an income statement. This will result in an estimated change in net cash.</t>
    </r>
  </si>
  <si>
    <t>Total cashflow before COVID-19</t>
  </si>
  <si>
    <t>What has been the cumulative effect on revenues since March 2020?</t>
  </si>
  <si>
    <t>Cashflow changes =</t>
  </si>
  <si>
    <t>How much did you draw on this fund before COVID-19?</t>
  </si>
  <si>
    <t>How much have you been drawing on this fund since COVID-19?</t>
  </si>
  <si>
    <t>Total cashflow since March 2020</t>
  </si>
  <si>
    <t>Total cashflow changes due to COVID-19</t>
  </si>
  <si>
    <t>Total revenue changes due to COVID-19</t>
  </si>
  <si>
    <t>Total revenue changes due to COVID-19:</t>
  </si>
  <si>
    <t>Total revenue since March 2020</t>
  </si>
  <si>
    <t>Total expense changes due to COVID-19</t>
  </si>
  <si>
    <t>Total expense changes due to COVID-19:</t>
  </si>
  <si>
    <t>Total cashflow changes due to COVID-19:</t>
  </si>
  <si>
    <t>What will be the impact on the amount of cash available?</t>
  </si>
  <si>
    <t>How much were the transfers to other agencies before COVID-19?</t>
  </si>
  <si>
    <t>How much are the transfers to other agencies since March 2020?</t>
  </si>
  <si>
    <t>How much were the transfers from other agencies before COVID-19?</t>
  </si>
  <si>
    <t>How much are the transfers from other agencies since March 2020?</t>
  </si>
  <si>
    <t>January</t>
  </si>
  <si>
    <t>February</t>
  </si>
  <si>
    <t>March</t>
  </si>
  <si>
    <t>April</t>
  </si>
  <si>
    <t>May</t>
  </si>
  <si>
    <t>June</t>
  </si>
  <si>
    <t>July</t>
  </si>
  <si>
    <t>August</t>
  </si>
  <si>
    <t>October</t>
  </si>
  <si>
    <t>September</t>
  </si>
  <si>
    <t>November</t>
  </si>
  <si>
    <t>December</t>
  </si>
  <si>
    <t>What were your commercial/industrial revenues before COVID-19?</t>
  </si>
  <si>
    <t>What are your commercial/industrial revenues since March 2020?</t>
  </si>
  <si>
    <t>What were your residential revenues before COVID-19?</t>
  </si>
  <si>
    <t>What are your residential revenues since March 2020?</t>
  </si>
  <si>
    <t>What were your wholesale revenues before COVID-19?</t>
  </si>
  <si>
    <t>What are your wholesale revenues since March 2020?</t>
  </si>
  <si>
    <t>What were your connection/tap fee revenues before COVID-19?</t>
  </si>
  <si>
    <t>What are your connection/tap fee revenues since March 2020?</t>
  </si>
  <si>
    <t>What were your tax revenues before COVID-19?</t>
  </si>
  <si>
    <t>What are your tax revenues since March 2020?</t>
  </si>
  <si>
    <t>What were your byproduct revenues before COVID-19?</t>
  </si>
  <si>
    <t>What are your byproduct revenues since March 2020?</t>
  </si>
  <si>
    <t>What were your interest revenues before COVID-19?</t>
  </si>
  <si>
    <t>What are your interest revenues since March 2020?</t>
  </si>
  <si>
    <t>How much were these additional revenue streams before COVID-19?</t>
  </si>
  <si>
    <t>How much are these additional revenue streams since March 2020?</t>
  </si>
  <si>
    <t>What are your regular labor costs since March 2020?</t>
  </si>
  <si>
    <t>What were your overtime labor costs before COVID-19?</t>
  </si>
  <si>
    <t>What are your overtime labor costs since March 2020?</t>
  </si>
  <si>
    <t>What were your chemical costs before COVID-19?</t>
  </si>
  <si>
    <t>What are your chemical costs since March 2020?</t>
  </si>
  <si>
    <t>What were your testing costs before COVID-19?</t>
  </si>
  <si>
    <t>What are your testing costs since March 2020?</t>
  </si>
  <si>
    <t>How much are your other utility bills since March 2020?</t>
  </si>
  <si>
    <t>How much were your other utility bills before COVID-19?</t>
  </si>
  <si>
    <t>What were your supply costs before COVID-19?</t>
  </si>
  <si>
    <t>What are your supply costs since March 2020?</t>
  </si>
  <si>
    <t>What were your uniform costs before COVID-19?</t>
  </si>
  <si>
    <t>What are your uniform costs since March 2020?</t>
  </si>
  <si>
    <t>What were your PPE costs before COVID-19?</t>
  </si>
  <si>
    <t>What are your PPE costs since March 2020?</t>
  </si>
  <si>
    <t>What were your interest expenses before COVID-19?</t>
  </si>
  <si>
    <t>What are your interest expenses since March 2020?</t>
  </si>
  <si>
    <t>How much has this new expense cost?</t>
  </si>
  <si>
    <t>How much were these additional expenses before COVID-19?</t>
  </si>
  <si>
    <t>How much are these additional expenses since March 2020?</t>
  </si>
  <si>
    <t>What was the amount before COVID-19?</t>
  </si>
  <si>
    <t>What is the amount since March 2020?</t>
  </si>
  <si>
    <t>What was the amount of cashflow before COVID-19?</t>
  </si>
  <si>
    <t>What is the amount of cashflow since March 2020?</t>
  </si>
  <si>
    <t>Water Utility 2020 COVID-19 Financial Impact Tool</t>
  </si>
  <si>
    <t>Water Utility January 2020 COVID-19 Financial Impact Tool</t>
  </si>
  <si>
    <t>Water Utility February 2020 COVID-19 Financial Impact Tool</t>
  </si>
  <si>
    <t>Water Utility March 2020 COVID-19 Financial Impact Tool</t>
  </si>
  <si>
    <t>Water Utility May 2020 COVID-19 Financial Impact Tool</t>
  </si>
  <si>
    <t>Water Utility June 2020 COVID-19 Financial Impact Tool</t>
  </si>
  <si>
    <t>Water Utility July 2020 COVID-19 Financial Impact Tool</t>
  </si>
  <si>
    <t>Water Utility August 2020 COVID-19 Financial Impact Tool</t>
  </si>
  <si>
    <t>Water Utility September 2020 COVID-19 Financial Impact Tool</t>
  </si>
  <si>
    <t>Water Utility October 2020 COVID-19 Financial Impact Tool</t>
  </si>
  <si>
    <t>Water Utility November 2020 COVID-19 Financial Impact Tool</t>
  </si>
  <si>
    <t>Water Utility December 2020 COVID-19 Financial Impact Tool</t>
  </si>
  <si>
    <t>YTD</t>
  </si>
  <si>
    <t>Jan</t>
  </si>
  <si>
    <t>Feb</t>
  </si>
  <si>
    <t>Mar</t>
  </si>
  <si>
    <t>Apr</t>
  </si>
  <si>
    <t>Aug</t>
  </si>
  <si>
    <t>Sept</t>
  </si>
  <si>
    <t>Oct</t>
  </si>
  <si>
    <t>Nov</t>
  </si>
  <si>
    <t>Dec</t>
  </si>
  <si>
    <t>Do you plan to draw down these accounts? If so, how much this month?</t>
  </si>
  <si>
    <t>Do you sell byproducts (e.g., biosolids, electricity, etc.)?</t>
  </si>
  <si>
    <t>Have your labor costs, regular and overtime, changed?</t>
  </si>
  <si>
    <t xml:space="preserve">* </t>
  </si>
  <si>
    <t>Yes</t>
  </si>
  <si>
    <t>No</t>
  </si>
  <si>
    <t>https://www.whitehouse.gov/openingamerica/</t>
  </si>
  <si>
    <r>
      <t xml:space="preserve">Please make sure to </t>
    </r>
    <r>
      <rPr>
        <b/>
        <sz val="11"/>
        <color theme="1"/>
        <rFont val="Calibri Light"/>
        <family val="2"/>
        <scheme val="major"/>
      </rPr>
      <t>Enable</t>
    </r>
    <r>
      <rPr>
        <sz val="11"/>
        <color theme="1"/>
        <rFont val="Calibri Light"/>
        <family val="2"/>
        <scheme val="major"/>
      </rPr>
      <t xml:space="preserve"> the macros in this tool.</t>
    </r>
  </si>
  <si>
    <t>Do you pay another system to treat your wholesale wastewater?</t>
  </si>
  <si>
    <t>What were your commercial/industrial revenues?</t>
  </si>
  <si>
    <t>What were your residential revenues?</t>
  </si>
  <si>
    <t>What were your wholesale revenues?</t>
  </si>
  <si>
    <t>What were your connection/tap fee revenues?</t>
  </si>
  <si>
    <t>If you had any additional revenue streams that have not been identified, what were the revenues?</t>
  </si>
  <si>
    <t>What were your tax revenues, either directly or from a parent agency?</t>
  </si>
  <si>
    <t>What were your byproduct (e.g., biosolids, electricity, etc.) revenues?</t>
  </si>
  <si>
    <t>If you generate interest income from cash on hand, what were your interest revenues?</t>
  </si>
  <si>
    <t>Total 2019 revenue</t>
  </si>
  <si>
    <t>What were your overtime labor costs?</t>
  </si>
  <si>
    <t>What were your expenses for purchasing water for resale?</t>
  </si>
  <si>
    <t>What were your expenses for wholesale wastewater treatment?</t>
  </si>
  <si>
    <t>What were your expenses for purchasing water for resale before COVID-19?</t>
  </si>
  <si>
    <t>What were your expenses for purchasing water for resale since March 2020?</t>
  </si>
  <si>
    <t>What were your expenses for purchasing wholesale wastewater treatment before COVID-19?</t>
  </si>
  <si>
    <t>What were your expenses for purchasing wholesale wastewater treatment since March 2020?</t>
  </si>
  <si>
    <t>What were your chemical costs?</t>
  </si>
  <si>
    <t>What were your testing costs?</t>
  </si>
  <si>
    <t>How much were your other utility bills?</t>
  </si>
  <si>
    <t>What were your interest expenses?</t>
  </si>
  <si>
    <t>If you had any expenses that have not been identified, what were the expenses?</t>
  </si>
  <si>
    <t>What was the amount in Accounts Receivable?</t>
  </si>
  <si>
    <t>What was the amount in Accounts Payable?</t>
  </si>
  <si>
    <t>What was the amount in pension fund contributions?</t>
  </si>
  <si>
    <t>If you participate in inter-agency fund transfer, how much were the transfers to other agencies?</t>
  </si>
  <si>
    <t>If you participate in inter-agency fund transfer, how much were the transfers from other agencies?</t>
  </si>
  <si>
    <t>Total 2019 expenses</t>
  </si>
  <si>
    <t>Total 2019 cashflow</t>
  </si>
  <si>
    <t>What were your revenues before COVID-19?</t>
  </si>
  <si>
    <t>What were your revenues from the system's rate structure?</t>
  </si>
  <si>
    <t>If you have a rate stabilization fund, how much was in it?</t>
  </si>
  <si>
    <t>What was your cashflow from budgeted capital expenditures?</t>
  </si>
  <si>
    <t>Total net changes due to COVID-19:</t>
  </si>
  <si>
    <t>There are several questions in this tool, many of which will only appear depending on how you answer.</t>
  </si>
  <si>
    <r>
      <t xml:space="preserve">First, work through the </t>
    </r>
    <r>
      <rPr>
        <b/>
        <sz val="11"/>
        <color theme="1"/>
        <rFont val="Calibri Light"/>
        <family val="2"/>
        <scheme val="major"/>
      </rPr>
      <t>Revenue</t>
    </r>
    <r>
      <rPr>
        <sz val="11"/>
        <color theme="1"/>
        <rFont val="Calibri Light"/>
        <family val="2"/>
        <scheme val="major"/>
      </rPr>
      <t xml:space="preserve"> and </t>
    </r>
    <r>
      <rPr>
        <b/>
        <sz val="11"/>
        <color theme="1"/>
        <rFont val="Calibri Light"/>
        <family val="2"/>
        <scheme val="major"/>
      </rPr>
      <t>Expenses</t>
    </r>
    <r>
      <rPr>
        <sz val="11"/>
        <color theme="1"/>
        <rFont val="Calibri Light"/>
        <family val="2"/>
        <scheme val="major"/>
      </rPr>
      <t xml:space="preserve"> sections to determine the changes to your income statement on a cash basis.</t>
    </r>
  </si>
  <si>
    <t xml:space="preserve">Water Utility Fiscal Year 2019 COVID-19 Financial Impact </t>
  </si>
  <si>
    <t>Are you suspending late fees?</t>
  </si>
  <si>
    <t>What were your late fee revenues before COVID-19?</t>
  </si>
  <si>
    <t>What were your late fee revenues?</t>
  </si>
  <si>
    <t>What were your disposal costs?</t>
  </si>
  <si>
    <t>What are your late fee revenues since March 2020?</t>
  </si>
  <si>
    <t>Are you suspending shutoffs?</t>
  </si>
  <si>
    <t xml:space="preserve">Have you seen less revenues from customers not paying bills? </t>
  </si>
  <si>
    <t>Have your chemical usages changed?</t>
  </si>
  <si>
    <t>Have your disposal costs changed?</t>
  </si>
  <si>
    <t>What were your disposal costs before COVID-19?</t>
  </si>
  <si>
    <t>What are your disposal costs since March 2020?</t>
  </si>
  <si>
    <t>Has there been a change in the system's other utility services?</t>
  </si>
  <si>
    <t>Do you expect a change in the system's interest expenses?</t>
  </si>
  <si>
    <t>Have you provided housing costs or meals? If so, how much?</t>
  </si>
  <si>
    <t>Have you provided paid leave for any employees who need to self-quarantine (either at the utility or at home)? If so, how much?</t>
  </si>
  <si>
    <r>
      <t xml:space="preserve">Proceed to </t>
    </r>
    <r>
      <rPr>
        <b/>
        <sz val="11"/>
        <color theme="0"/>
        <rFont val="Calibri Light"/>
        <family val="2"/>
        <scheme val="major"/>
      </rPr>
      <t>Cashflow</t>
    </r>
    <r>
      <rPr>
        <sz val="11"/>
        <color theme="0"/>
        <rFont val="Calibri Light"/>
        <family val="2"/>
        <scheme val="major"/>
      </rPr>
      <t xml:space="preserve"> Section</t>
    </r>
  </si>
  <si>
    <t>Has there been, or do you expect, a change in Accounts receivable?</t>
  </si>
  <si>
    <t>Has there been, or do you expect, a change in Accounts payable?</t>
  </si>
  <si>
    <t>Are there inter-agency funds transfers that have occurred, or that will occur?</t>
  </si>
  <si>
    <t>Has there been, or do you expect, a change in the system's rate structure such as a delay in implementing a rate increase or temporary rate reductions?</t>
  </si>
  <si>
    <t>Has there been, or do you expect, a change in budgeted capital expenditures?</t>
  </si>
  <si>
    <t>Do you have available cash on hand?</t>
  </si>
  <si>
    <t>Are there, or do you expect, a change in expenditures due to delayed construction projects?</t>
  </si>
  <si>
    <t xml:space="preserve">Due to the nature of COVID-19, communities have not necessarily been experiencing impacts at the same time. Guidance has been issued on Opening Up America Again, which could be useful information for your community.  </t>
  </si>
  <si>
    <t>Have you used reserve funds?</t>
  </si>
  <si>
    <t>How much of the reserve funds were used?</t>
  </si>
  <si>
    <t>Name of Utility:</t>
  </si>
  <si>
    <t>Address:</t>
  </si>
  <si>
    <t>State:</t>
  </si>
  <si>
    <t>System Type:</t>
  </si>
  <si>
    <t>Fiscal Year (FY) calendar:</t>
  </si>
  <si>
    <t>What is the expected date your community will enter Phase 1?</t>
  </si>
  <si>
    <t>What month are you entering data for:</t>
  </si>
  <si>
    <t>Last Updated By:</t>
  </si>
  <si>
    <t>When did the impacts of COVID-19 first affect your financials?</t>
  </si>
  <si>
    <t>Date Last Updated:</t>
  </si>
  <si>
    <t>2020 Results</t>
  </si>
  <si>
    <r>
      <t xml:space="preserve">Once you are finished entering your 2019 data, return to the </t>
    </r>
    <r>
      <rPr>
        <b/>
        <sz val="11"/>
        <color theme="1"/>
        <rFont val="Calibri Light"/>
        <family val="2"/>
        <scheme val="major"/>
      </rPr>
      <t>Introduction</t>
    </r>
    <r>
      <rPr>
        <sz val="11"/>
        <color theme="1"/>
        <rFont val="Calibri Light"/>
        <family val="2"/>
        <scheme val="major"/>
      </rPr>
      <t xml:space="preserve"> tab and select the button for the specific month in 2020 to enter data. </t>
    </r>
  </si>
  <si>
    <r>
      <t xml:space="preserve">You will begin by entering data into the </t>
    </r>
    <r>
      <rPr>
        <b/>
        <sz val="11"/>
        <color theme="1"/>
        <rFont val="Calibri Light"/>
        <family val="2"/>
        <scheme val="major"/>
      </rPr>
      <t>2019 Data</t>
    </r>
    <r>
      <rPr>
        <sz val="11"/>
        <color theme="1"/>
        <rFont val="Calibri Light"/>
        <family val="2"/>
        <scheme val="major"/>
      </rPr>
      <t xml:space="preserve"> tab. You will enter data using 2019's annual data to compare to the current month. The spreadsheet will automatically calculate the average monthly data before COVID-19. This tool will allow you to compare it to the 2020 revenue, expenses, and cashflow. If there is a line item that your utility does not track, enter $0. </t>
    </r>
  </si>
  <si>
    <r>
      <t xml:space="preserve">The </t>
    </r>
    <r>
      <rPr>
        <b/>
        <sz val="11"/>
        <color theme="1"/>
        <rFont val="Calibri Light"/>
        <family val="2"/>
        <scheme val="major"/>
      </rPr>
      <t>Revenue,</t>
    </r>
    <r>
      <rPr>
        <sz val="11"/>
        <color theme="1"/>
        <rFont val="Calibri Light"/>
        <family val="2"/>
        <scheme val="major"/>
      </rPr>
      <t xml:space="preserve"> </t>
    </r>
    <r>
      <rPr>
        <b/>
        <sz val="11"/>
        <color theme="1"/>
        <rFont val="Calibri Light"/>
        <family val="2"/>
        <scheme val="major"/>
      </rPr>
      <t>Expenses</t>
    </r>
    <r>
      <rPr>
        <sz val="11"/>
        <color theme="1"/>
        <rFont val="Calibri Light"/>
        <family val="2"/>
        <scheme val="major"/>
      </rPr>
      <t xml:space="preserve">, and </t>
    </r>
    <r>
      <rPr>
        <b/>
        <sz val="11"/>
        <color theme="1"/>
        <rFont val="Calibri Light"/>
        <family val="2"/>
        <scheme val="major"/>
      </rPr>
      <t>Cashflow</t>
    </r>
    <r>
      <rPr>
        <sz val="11"/>
        <color theme="1"/>
        <rFont val="Calibri Light"/>
        <family val="2"/>
        <scheme val="major"/>
      </rPr>
      <t xml:space="preserve"> sections will automatically calculate the sum and changes in these sections. These results will be featured below.</t>
    </r>
  </si>
  <si>
    <t>Has there been a change in supplying Personal Protection Equipment (PPE) or other materials, such as cloth masks?</t>
  </si>
  <si>
    <t>What were your Personal Protection Equipment (PPE) costs?</t>
  </si>
  <si>
    <t>Has there been a change in use of supplies (supply chains)?</t>
  </si>
  <si>
    <t>What were your supply (supply chain) costs?</t>
  </si>
  <si>
    <t>Category</t>
  </si>
  <si>
    <t>Questions</t>
  </si>
  <si>
    <t>What were your regular labor costs, including benefits?</t>
  </si>
  <si>
    <t>What were your regular labor costs, including benefits, before COVID-19?</t>
  </si>
  <si>
    <t>How much was your energy bill?</t>
  </si>
  <si>
    <t>How much was your energy bill before COVID-19?</t>
  </si>
  <si>
    <t>How much is your energy bill since March 2020?</t>
  </si>
  <si>
    <t>What were your uniform/attire costs?</t>
  </si>
  <si>
    <t>Has there been a change in supplying uniforms/attire?</t>
  </si>
  <si>
    <t xml:space="preserve">What is the lost of revenue from these accounts? </t>
  </si>
  <si>
    <t>2019 Annual Data</t>
  </si>
  <si>
    <t>Average Monthly Data</t>
  </si>
  <si>
    <r>
      <t xml:space="preserve">The spreadsheet has three sections: </t>
    </r>
    <r>
      <rPr>
        <b/>
        <sz val="11"/>
        <color theme="1"/>
        <rFont val="Calibri Light"/>
        <family val="2"/>
        <scheme val="major"/>
      </rPr>
      <t>Revenue</t>
    </r>
    <r>
      <rPr>
        <sz val="11"/>
        <color theme="1"/>
        <rFont val="Calibri Light"/>
        <family val="2"/>
        <scheme val="major"/>
      </rPr>
      <t xml:space="preserve">, </t>
    </r>
    <r>
      <rPr>
        <b/>
        <sz val="11"/>
        <color theme="1"/>
        <rFont val="Calibri Light"/>
        <family val="2"/>
        <scheme val="major"/>
      </rPr>
      <t>Expenses</t>
    </r>
    <r>
      <rPr>
        <sz val="11"/>
        <color theme="1"/>
        <rFont val="Calibri Light"/>
        <family val="2"/>
        <scheme val="major"/>
      </rPr>
      <t xml:space="preserve">, and </t>
    </r>
    <r>
      <rPr>
        <b/>
        <sz val="11"/>
        <color theme="1"/>
        <rFont val="Calibri Light"/>
        <family val="2"/>
        <scheme val="major"/>
      </rPr>
      <t xml:space="preserve">Cashflow </t>
    </r>
    <r>
      <rPr>
        <sz val="11"/>
        <color theme="1"/>
        <rFont val="Calibri Light"/>
        <family val="2"/>
        <scheme val="major"/>
      </rPr>
      <t>and is intended to be used monthly with a running total of the cashflows.</t>
    </r>
  </si>
  <si>
    <t>Please make sure to save the spreadsheet results to your computer before you close the tool.</t>
  </si>
  <si>
    <t>The tool will require data from the previous year and current year financials. You will need access to your utility's financial statements; accounting knowledge will also be useful for filling out this tool.</t>
  </si>
  <si>
    <t xml:space="preserve">Next, you will answer yes/no questions in the month that you are entering data. If you answer yes, follow up questions will appear. The follow up questions will ask for specific dollar amounts to compare before and after COVID-19 events. Since you already entered the 2019 data, the 2019 data will automatically populate. You will only need to enter the current month data. If there is a line item that your utility does not track, enter $0. </t>
  </si>
  <si>
    <t xml:space="preserve">If you would like to keep track of who is entering the data and when it was last updated, enter this information below. This information is not required, but may be useful for your utility to track. </t>
  </si>
  <si>
    <t>Has there been a change in the system's energy bill?</t>
  </si>
  <si>
    <r>
      <t xml:space="preserve">The </t>
    </r>
    <r>
      <rPr>
        <b/>
        <sz val="11"/>
        <color theme="1"/>
        <rFont val="Calibri Light"/>
        <family val="2"/>
        <scheme val="major"/>
      </rPr>
      <t>Water Utility COVID-19 Financial Impact Tool</t>
    </r>
    <r>
      <rPr>
        <sz val="11"/>
        <color theme="1"/>
        <rFont val="Calibri Light"/>
        <family val="2"/>
        <scheme val="major"/>
      </rPr>
      <t xml:space="preserve"> can be used to assess the financial impact of the COVID-19 pandemic on your utility's cashflow. Use of the spreadsheet is voluntary and its results are provided for your information only. EPA is not collecting either the data entered by utilities or the results.</t>
    </r>
  </si>
  <si>
    <t>The only cells into which information can be entered are highlighted in</t>
  </si>
  <si>
    <t>intended only to serve as an indicator for the cells that can have information entered. Cells that automatically populate are not highlighted.</t>
  </si>
  <si>
    <t xml:space="preserve">Please note that you are not required to input data into these cells. They are </t>
  </si>
  <si>
    <t>The fields in this section are intended to allow you to track data and results across time. Their use is optional.</t>
  </si>
  <si>
    <t>Version 1.2</t>
  </si>
  <si>
    <t>Do you expect a change in expenses?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</si>
</sst>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44" formatCode="_(&quot;$&quot;* #,##0.00_);_(&quot;$&quot;* \(#,##0.00\);_(&quot;$&quot;* &quot;-&quot;??_);_(@_)"/>
    <numFmt numFmtId="164" formatCode="&quot;$&quot;#,##0.00"/>
    <numFmt numFmtId="165" formatCode="&quot;$&quot;#,##0.00_);[Red]\(&quot;$&quot;#,##0.00\);"/>
  </numFmts>
  <fonts count="15" x14ac:knownFonts="1">
    <font>
      <sz val="11"/>
      <color theme="1"/>
      <name val="Calibri"/>
      <family val="2"/>
      <scheme val="minor"/>
    </font>
    <font>
      <sz val="11"/>
      <color theme="1"/>
      <name val="Calibri"/>
      <family val="2"/>
      <scheme val="minor"/>
    </font>
    <font>
      <b/>
      <sz val="20"/>
      <color indexed="9"/>
      <name val="Calibri Light"/>
      <family val="2"/>
      <scheme val="major"/>
    </font>
    <font>
      <sz val="11"/>
      <color theme="1"/>
      <name val="Calibri Light"/>
      <family val="2"/>
      <scheme val="major"/>
    </font>
    <font>
      <b/>
      <sz val="11"/>
      <color theme="1"/>
      <name val="Calibri Light"/>
      <family val="2"/>
      <scheme val="major"/>
    </font>
    <font>
      <sz val="11"/>
      <color theme="0"/>
      <name val="Calibri Light"/>
      <family val="2"/>
      <scheme val="major"/>
    </font>
    <font>
      <b/>
      <sz val="11"/>
      <color theme="0"/>
      <name val="Calibri Light"/>
      <family val="2"/>
      <scheme val="major"/>
    </font>
    <font>
      <sz val="11"/>
      <color rgb="FF000000"/>
      <name val="Calibri Light"/>
      <family val="2"/>
      <scheme val="major"/>
    </font>
    <font>
      <sz val="12"/>
      <color theme="1"/>
      <name val="Calibri Light"/>
      <family val="2"/>
      <scheme val="major"/>
    </font>
    <font>
      <b/>
      <u/>
      <sz val="11"/>
      <color theme="1"/>
      <name val="Calibri Light"/>
      <family val="2"/>
      <scheme val="major"/>
    </font>
    <font>
      <u/>
      <sz val="11"/>
      <color theme="10"/>
      <name val="Calibri"/>
      <family val="2"/>
      <scheme val="minor"/>
    </font>
    <font>
      <b/>
      <sz val="18"/>
      <color indexed="9"/>
      <name val="Calibri Light"/>
      <family val="2"/>
      <scheme val="major"/>
    </font>
    <font>
      <b/>
      <sz val="11"/>
      <color theme="1"/>
      <name val="Calibri"/>
      <family val="2"/>
      <scheme val="minor"/>
    </font>
    <font>
      <b/>
      <sz val="11"/>
      <name val="Calibri Light"/>
      <family val="2"/>
      <scheme val="major"/>
    </font>
    <font>
      <b/>
      <sz val="11"/>
      <color rgb="FF000000"/>
      <name val="Calibri Light"/>
      <family val="2"/>
      <scheme val="major"/>
    </font>
  </fonts>
  <fills count="18">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FFFF9B"/>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8B6E53"/>
        <bgColor indexed="64"/>
      </patternFill>
    </fill>
    <fill>
      <patternFill patternType="solid">
        <fgColor rgb="FFD4C4B6"/>
        <bgColor indexed="64"/>
      </patternFill>
    </fill>
    <fill>
      <patternFill patternType="solid">
        <fgColor rgb="FF447872"/>
        <bgColor indexed="64"/>
      </patternFill>
    </fill>
    <fill>
      <patternFill patternType="solid">
        <fgColor rgb="FF9FC9C4"/>
        <bgColor indexed="64"/>
      </patternFill>
    </fill>
    <fill>
      <patternFill patternType="solid">
        <fgColor theme="4" tint="-0.49998474074526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uble">
        <color rgb="FF0070C0"/>
      </left>
      <right/>
      <top style="double">
        <color rgb="FF0070C0"/>
      </top>
      <bottom/>
      <diagonal/>
    </border>
    <border>
      <left/>
      <right/>
      <top style="double">
        <color rgb="FF0070C0"/>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double">
        <color rgb="FF0070C0"/>
      </left>
      <right/>
      <top/>
      <bottom/>
      <diagonal/>
    </border>
    <border>
      <left style="medium">
        <color indexed="64"/>
      </left>
      <right style="medium">
        <color indexed="64"/>
      </right>
      <top style="medium">
        <color indexed="64"/>
      </top>
      <bottom style="medium">
        <color indexed="64"/>
      </bottom>
      <diagonal/>
    </border>
    <border>
      <left style="double">
        <color rgb="FF0070C0"/>
      </left>
      <right/>
      <top style="double">
        <color rgb="FF0070C0"/>
      </top>
      <bottom style="thin">
        <color indexed="64"/>
      </bottom>
      <diagonal/>
    </border>
    <border>
      <left/>
      <right/>
      <top style="double">
        <color rgb="FF0070C0"/>
      </top>
      <bottom style="thin">
        <color indexed="64"/>
      </bottom>
      <diagonal/>
    </border>
  </borders>
  <cellStyleXfs count="3">
    <xf numFmtId="0" fontId="0" fillId="0" borderId="0"/>
    <xf numFmtId="44" fontId="1" fillId="0" borderId="0" applyFont="0" applyFill="0" applyBorder="0" applyAlignment="0" applyProtection="0"/>
    <xf numFmtId="0" fontId="10" fillId="0" borderId="0" applyNumberFormat="0" applyFill="0" applyBorder="0" applyAlignment="0" applyProtection="0"/>
  </cellStyleXfs>
  <cellXfs count="257">
    <xf numFmtId="0" fontId="0" fillId="0" borderId="0" xfId="0"/>
    <xf numFmtId="0" fontId="3" fillId="0" borderId="0" xfId="0" applyFont="1"/>
    <xf numFmtId="0" fontId="3" fillId="5" borderId="14" xfId="0" applyFont="1" applyFill="1" applyBorder="1" applyAlignment="1">
      <alignment wrapText="1"/>
    </xf>
    <xf numFmtId="44" fontId="3" fillId="5" borderId="14" xfId="1" applyFont="1" applyFill="1" applyBorder="1" applyAlignment="1">
      <alignment wrapText="1"/>
    </xf>
    <xf numFmtId="0" fontId="3" fillId="0" borderId="0" xfId="0" applyFont="1" applyBorder="1" applyAlignment="1">
      <alignment wrapText="1"/>
    </xf>
    <xf numFmtId="0" fontId="3" fillId="12" borderId="17" xfId="0" applyFont="1" applyFill="1" applyBorder="1" applyAlignment="1">
      <alignment wrapText="1"/>
    </xf>
    <xf numFmtId="0" fontId="3" fillId="5" borderId="17" xfId="0" applyFont="1" applyFill="1" applyBorder="1" applyAlignment="1">
      <alignment wrapText="1"/>
    </xf>
    <xf numFmtId="0" fontId="7" fillId="5" borderId="17" xfId="0" applyFont="1" applyFill="1" applyBorder="1" applyAlignment="1">
      <alignment wrapText="1"/>
    </xf>
    <xf numFmtId="0" fontId="4" fillId="12" borderId="0" xfId="0" applyFont="1" applyFill="1" applyBorder="1" applyAlignment="1">
      <alignment wrapText="1"/>
    </xf>
    <xf numFmtId="0" fontId="3" fillId="14" borderId="17" xfId="0" applyFont="1" applyFill="1" applyBorder="1" applyAlignment="1">
      <alignment wrapText="1"/>
    </xf>
    <xf numFmtId="0" fontId="3" fillId="5" borderId="15" xfId="0" applyFont="1" applyFill="1" applyBorder="1" applyAlignment="1">
      <alignment wrapText="1"/>
    </xf>
    <xf numFmtId="44" fontId="3" fillId="5" borderId="15" xfId="1" applyFont="1" applyFill="1" applyBorder="1" applyAlignment="1">
      <alignment wrapText="1"/>
    </xf>
    <xf numFmtId="0" fontId="4" fillId="14" borderId="15" xfId="0" applyFont="1" applyFill="1" applyBorder="1" applyAlignment="1">
      <alignment wrapText="1"/>
    </xf>
    <xf numFmtId="0" fontId="4" fillId="5" borderId="3" xfId="0" applyFont="1" applyFill="1" applyBorder="1" applyAlignment="1">
      <alignment wrapText="1"/>
    </xf>
    <xf numFmtId="0" fontId="4" fillId="5" borderId="14" xfId="0" applyFont="1" applyFill="1" applyBorder="1" applyAlignment="1">
      <alignment wrapText="1"/>
    </xf>
    <xf numFmtId="0" fontId="4" fillId="0" borderId="0" xfId="0" applyFont="1" applyBorder="1" applyAlignment="1">
      <alignment vertical="center" wrapText="1"/>
    </xf>
    <xf numFmtId="0" fontId="3" fillId="0" borderId="0" xfId="0" applyFont="1" applyFill="1" applyBorder="1" applyAlignment="1">
      <alignment horizontal="left" vertical="center" wrapText="1"/>
    </xf>
    <xf numFmtId="0" fontId="3" fillId="0" borderId="0" xfId="0" applyFont="1" applyFill="1" applyBorder="1" applyAlignment="1">
      <alignment wrapText="1"/>
    </xf>
    <xf numFmtId="44" fontId="3" fillId="0" borderId="0" xfId="1" applyFont="1" applyFill="1" applyBorder="1" applyAlignment="1">
      <alignment wrapText="1"/>
    </xf>
    <xf numFmtId="8" fontId="3" fillId="0" borderId="0" xfId="1" applyNumberFormat="1" applyFont="1" applyFill="1" applyBorder="1" applyAlignment="1">
      <alignment wrapText="1"/>
    </xf>
    <xf numFmtId="0" fontId="4" fillId="0" borderId="0" xfId="0" applyFont="1"/>
    <xf numFmtId="0" fontId="8" fillId="2" borderId="0" xfId="0" applyFont="1" applyFill="1"/>
    <xf numFmtId="0" fontId="3" fillId="3" borderId="0" xfId="0" applyFont="1" applyFill="1"/>
    <xf numFmtId="0" fontId="3" fillId="2" borderId="0" xfId="0" applyFont="1" applyFill="1"/>
    <xf numFmtId="0" fontId="3" fillId="5" borderId="14" xfId="0" applyFont="1" applyFill="1" applyBorder="1" applyAlignment="1">
      <alignment horizontal="right" wrapText="1"/>
    </xf>
    <xf numFmtId="0" fontId="3" fillId="0" borderId="0" xfId="0" applyFont="1" applyFill="1" applyBorder="1" applyAlignment="1">
      <alignment horizontal="right" wrapText="1"/>
    </xf>
    <xf numFmtId="0" fontId="4" fillId="14" borderId="15" xfId="0" applyFont="1" applyFill="1" applyBorder="1" applyAlignment="1">
      <alignment horizontal="left" wrapText="1"/>
    </xf>
    <xf numFmtId="0" fontId="4" fillId="5" borderId="14" xfId="0" applyFont="1" applyFill="1" applyBorder="1" applyAlignment="1">
      <alignment horizontal="left" wrapText="1"/>
    </xf>
    <xf numFmtId="0" fontId="4" fillId="12" borderId="0" xfId="0" applyFont="1" applyFill="1" applyBorder="1" applyAlignment="1">
      <alignment horizontal="left" wrapText="1"/>
    </xf>
    <xf numFmtId="0" fontId="3" fillId="12" borderId="14" xfId="0" applyFont="1" applyFill="1" applyBorder="1" applyAlignment="1">
      <alignment wrapText="1"/>
    </xf>
    <xf numFmtId="0" fontId="3" fillId="12" borderId="15" xfId="0" applyFont="1" applyFill="1" applyBorder="1" applyAlignment="1">
      <alignment wrapText="1"/>
    </xf>
    <xf numFmtId="0" fontId="3" fillId="5" borderId="1" xfId="0" applyFont="1" applyFill="1" applyBorder="1" applyAlignment="1">
      <alignment wrapText="1"/>
    </xf>
    <xf numFmtId="44" fontId="3" fillId="10" borderId="16" xfId="1" applyNumberFormat="1" applyFont="1" applyFill="1" applyBorder="1" applyAlignment="1">
      <alignment wrapText="1"/>
    </xf>
    <xf numFmtId="0" fontId="3" fillId="10" borderId="16" xfId="0" applyFont="1" applyFill="1" applyBorder="1" applyAlignment="1">
      <alignment wrapText="1"/>
    </xf>
    <xf numFmtId="0" fontId="3" fillId="5" borderId="16" xfId="0" applyFont="1" applyFill="1" applyBorder="1" applyAlignment="1">
      <alignment horizontal="right" wrapText="1"/>
    </xf>
    <xf numFmtId="0" fontId="3" fillId="12" borderId="16" xfId="0" applyFont="1" applyFill="1" applyBorder="1" applyAlignment="1">
      <alignment horizontal="right" wrapText="1"/>
    </xf>
    <xf numFmtId="0" fontId="3" fillId="14" borderId="16" xfId="0" applyFont="1" applyFill="1" applyBorder="1" applyAlignment="1">
      <alignment horizontal="right" wrapText="1"/>
    </xf>
    <xf numFmtId="0" fontId="3" fillId="16" borderId="1" xfId="0" applyFont="1" applyFill="1" applyBorder="1" applyAlignment="1">
      <alignment wrapText="1"/>
    </xf>
    <xf numFmtId="0" fontId="3" fillId="16" borderId="16" xfId="0" applyFont="1" applyFill="1" applyBorder="1" applyAlignment="1">
      <alignment horizontal="right" wrapText="1"/>
    </xf>
    <xf numFmtId="0" fontId="3" fillId="5" borderId="17" xfId="0" applyFont="1" applyFill="1" applyBorder="1" applyAlignment="1">
      <alignment horizontal="left" vertical="center" wrapText="1"/>
    </xf>
    <xf numFmtId="0" fontId="3" fillId="14" borderId="17" xfId="0" applyFont="1" applyFill="1" applyBorder="1" applyAlignment="1">
      <alignment horizontal="left" vertical="center" wrapText="1"/>
    </xf>
    <xf numFmtId="0" fontId="3" fillId="5" borderId="14" xfId="0" applyFont="1" applyFill="1" applyBorder="1" applyAlignment="1">
      <alignment horizontal="left" vertical="center" wrapText="1"/>
    </xf>
    <xf numFmtId="0" fontId="3" fillId="12" borderId="17" xfId="0" applyFont="1" applyFill="1" applyBorder="1" applyAlignment="1">
      <alignment horizontal="left" vertical="center" wrapText="1"/>
    </xf>
    <xf numFmtId="0" fontId="4" fillId="5" borderId="1" xfId="0" applyFont="1" applyFill="1" applyBorder="1" applyAlignment="1">
      <alignment vertical="center" wrapText="1"/>
    </xf>
    <xf numFmtId="0" fontId="3" fillId="0" borderId="0" xfId="0" applyFont="1" applyFill="1" applyBorder="1" applyAlignment="1">
      <alignment vertical="center" wrapText="1"/>
    </xf>
    <xf numFmtId="0" fontId="4" fillId="16" borderId="11" xfId="0" applyFont="1" applyFill="1" applyBorder="1" applyAlignment="1">
      <alignment wrapText="1"/>
    </xf>
    <xf numFmtId="8" fontId="3" fillId="12" borderId="18" xfId="1" applyNumberFormat="1" applyFont="1" applyFill="1" applyBorder="1" applyAlignment="1">
      <alignment wrapText="1"/>
    </xf>
    <xf numFmtId="8" fontId="3" fillId="5" borderId="18" xfId="1" applyNumberFormat="1" applyFont="1" applyFill="1" applyBorder="1" applyAlignment="1">
      <alignment wrapText="1"/>
    </xf>
    <xf numFmtId="8" fontId="4" fillId="12" borderId="1" xfId="1" applyNumberFormat="1" applyFont="1" applyFill="1" applyBorder="1" applyAlignment="1">
      <alignment wrapText="1"/>
    </xf>
    <xf numFmtId="8" fontId="4" fillId="5" borderId="1" xfId="1" applyNumberFormat="1" applyFont="1" applyFill="1" applyBorder="1" applyAlignment="1">
      <alignment wrapText="1"/>
    </xf>
    <xf numFmtId="8" fontId="3" fillId="14" borderId="18" xfId="1" applyNumberFormat="1" applyFont="1" applyFill="1" applyBorder="1" applyAlignment="1">
      <alignment wrapText="1"/>
    </xf>
    <xf numFmtId="8" fontId="4" fillId="14" borderId="1" xfId="1" applyNumberFormat="1" applyFont="1" applyFill="1" applyBorder="1" applyAlignment="1">
      <alignment wrapText="1"/>
    </xf>
    <xf numFmtId="8" fontId="3" fillId="16" borderId="18" xfId="1" applyNumberFormat="1" applyFont="1" applyFill="1" applyBorder="1" applyAlignment="1">
      <alignment wrapText="1"/>
    </xf>
    <xf numFmtId="8" fontId="3" fillId="5" borderId="4" xfId="1" applyNumberFormat="1" applyFont="1" applyFill="1" applyBorder="1" applyAlignment="1">
      <alignment wrapText="1"/>
    </xf>
    <xf numFmtId="0" fontId="3" fillId="5" borderId="15" xfId="0" applyFont="1" applyFill="1" applyBorder="1" applyAlignment="1">
      <alignment horizontal="right" wrapText="1"/>
    </xf>
    <xf numFmtId="8" fontId="3" fillId="5" borderId="8" xfId="1" applyNumberFormat="1" applyFont="1" applyFill="1" applyBorder="1" applyAlignment="1">
      <alignment wrapText="1"/>
    </xf>
    <xf numFmtId="0" fontId="4" fillId="16" borderId="11" xfId="0" applyFont="1" applyFill="1" applyBorder="1" applyAlignment="1">
      <alignment horizontal="left" wrapText="1"/>
    </xf>
    <xf numFmtId="8" fontId="4" fillId="16" borderId="11" xfId="1" applyNumberFormat="1" applyFont="1" applyFill="1" applyBorder="1" applyAlignment="1">
      <alignment wrapText="1"/>
    </xf>
    <xf numFmtId="0" fontId="3" fillId="16" borderId="18" xfId="0" applyFont="1" applyFill="1" applyBorder="1" applyAlignment="1">
      <alignment wrapText="1"/>
    </xf>
    <xf numFmtId="0" fontId="3" fillId="5" borderId="16"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16" borderId="16" xfId="0" applyFont="1" applyFill="1" applyBorder="1" applyAlignment="1">
      <alignment horizontal="left" vertical="center" wrapText="1"/>
    </xf>
    <xf numFmtId="0" fontId="3" fillId="5" borderId="14" xfId="0" applyFont="1" applyFill="1" applyBorder="1" applyAlignment="1">
      <alignment horizontal="left" vertical="center" wrapText="1"/>
    </xf>
    <xf numFmtId="0" fontId="3" fillId="14" borderId="16" xfId="0" applyFont="1" applyFill="1" applyBorder="1" applyAlignment="1">
      <alignment horizontal="left" vertical="center" wrapText="1"/>
    </xf>
    <xf numFmtId="0" fontId="3" fillId="14" borderId="17" xfId="0" applyFont="1" applyFill="1" applyBorder="1" applyAlignment="1">
      <alignment horizontal="left" vertical="center" wrapText="1"/>
    </xf>
    <xf numFmtId="44" fontId="4" fillId="16" borderId="7" xfId="1" applyNumberFormat="1" applyFont="1" applyFill="1" applyBorder="1" applyAlignment="1">
      <alignment wrapText="1"/>
    </xf>
    <xf numFmtId="0" fontId="3" fillId="10" borderId="3" xfId="0" applyFont="1" applyFill="1" applyBorder="1" applyAlignment="1">
      <alignment wrapText="1"/>
    </xf>
    <xf numFmtId="0" fontId="3" fillId="10" borderId="5" xfId="0" applyFont="1" applyFill="1" applyBorder="1" applyAlignment="1">
      <alignment wrapText="1"/>
    </xf>
    <xf numFmtId="0" fontId="3" fillId="10" borderId="7" xfId="0" applyFont="1" applyFill="1" applyBorder="1" applyAlignment="1">
      <alignment wrapText="1"/>
    </xf>
    <xf numFmtId="0" fontId="3" fillId="14" borderId="15" xfId="0" applyFont="1" applyFill="1" applyBorder="1" applyAlignment="1">
      <alignment wrapText="1"/>
    </xf>
    <xf numFmtId="0" fontId="3" fillId="12" borderId="7" xfId="0" applyFont="1" applyFill="1" applyBorder="1" applyAlignment="1">
      <alignment horizontal="right" wrapText="1"/>
    </xf>
    <xf numFmtId="8" fontId="3" fillId="12" borderId="8" xfId="1" applyNumberFormat="1" applyFont="1" applyFill="1" applyBorder="1" applyAlignment="1">
      <alignment wrapText="1"/>
    </xf>
    <xf numFmtId="0" fontId="3" fillId="10" borderId="18" xfId="0" applyFont="1" applyFill="1" applyBorder="1" applyAlignment="1">
      <alignment wrapText="1"/>
    </xf>
    <xf numFmtId="0" fontId="5" fillId="5" borderId="15" xfId="0" applyFont="1" applyFill="1" applyBorder="1" applyAlignment="1">
      <alignment vertical="center" wrapText="1"/>
    </xf>
    <xf numFmtId="0" fontId="3" fillId="10" borderId="8" xfId="0" applyFont="1" applyFill="1" applyBorder="1" applyAlignment="1">
      <alignment wrapText="1"/>
    </xf>
    <xf numFmtId="0" fontId="3" fillId="10" borderId="4" xfId="0" applyFont="1" applyFill="1" applyBorder="1" applyAlignment="1">
      <alignment wrapText="1"/>
    </xf>
    <xf numFmtId="0" fontId="7" fillId="10" borderId="8" xfId="0" applyFont="1" applyFill="1" applyBorder="1" applyAlignment="1">
      <alignment wrapText="1"/>
    </xf>
    <xf numFmtId="0" fontId="3" fillId="10" borderId="6" xfId="0" applyFont="1" applyFill="1" applyBorder="1" applyAlignment="1">
      <alignment wrapText="1"/>
    </xf>
    <xf numFmtId="0" fontId="3" fillId="12" borderId="16" xfId="0" applyFont="1" applyFill="1" applyBorder="1" applyAlignment="1">
      <alignment horizontal="left" vertical="center" wrapText="1"/>
    </xf>
    <xf numFmtId="0" fontId="3" fillId="12" borderId="4" xfId="0" applyFont="1" applyFill="1" applyBorder="1" applyAlignment="1">
      <alignment wrapText="1"/>
    </xf>
    <xf numFmtId="0" fontId="3" fillId="14" borderId="18" xfId="0" applyFont="1" applyFill="1" applyBorder="1" applyAlignment="1">
      <alignment wrapText="1"/>
    </xf>
    <xf numFmtId="0" fontId="3" fillId="16" borderId="15" xfId="0" applyFont="1" applyFill="1" applyBorder="1" applyAlignment="1">
      <alignment horizontal="left" vertical="center" wrapText="1"/>
    </xf>
    <xf numFmtId="0" fontId="3" fillId="0" borderId="4" xfId="0" applyFont="1" applyBorder="1" applyAlignment="1">
      <alignment wrapText="1"/>
    </xf>
    <xf numFmtId="0" fontId="3" fillId="5" borderId="18" xfId="0" applyFont="1" applyFill="1" applyBorder="1" applyAlignment="1">
      <alignment wrapText="1"/>
    </xf>
    <xf numFmtId="0" fontId="4" fillId="16" borderId="8" xfId="0" applyFont="1" applyFill="1" applyBorder="1" applyAlignment="1">
      <alignment wrapText="1"/>
    </xf>
    <xf numFmtId="0" fontId="3" fillId="16" borderId="17" xfId="0" applyFont="1" applyFill="1" applyBorder="1" applyAlignment="1">
      <alignment wrapText="1"/>
    </xf>
    <xf numFmtId="164" fontId="3" fillId="10" borderId="7" xfId="1" applyNumberFormat="1" applyFont="1" applyFill="1" applyBorder="1" applyAlignment="1">
      <alignment wrapText="1"/>
    </xf>
    <xf numFmtId="164" fontId="3" fillId="10" borderId="16" xfId="1" applyNumberFormat="1" applyFont="1" applyFill="1" applyBorder="1" applyAlignment="1">
      <alignment wrapText="1"/>
    </xf>
    <xf numFmtId="164" fontId="3" fillId="12" borderId="1" xfId="0" applyNumberFormat="1" applyFont="1" applyFill="1" applyBorder="1" applyAlignment="1">
      <alignment wrapText="1"/>
    </xf>
    <xf numFmtId="164" fontId="3" fillId="5" borderId="1" xfId="0" applyNumberFormat="1" applyFont="1" applyFill="1" applyBorder="1" applyAlignment="1">
      <alignment wrapText="1"/>
    </xf>
    <xf numFmtId="164" fontId="7" fillId="5" borderId="1" xfId="0" applyNumberFormat="1" applyFont="1" applyFill="1" applyBorder="1" applyAlignment="1">
      <alignment wrapText="1"/>
    </xf>
    <xf numFmtId="164" fontId="3" fillId="14" borderId="1" xfId="0" applyNumberFormat="1" applyFont="1" applyFill="1" applyBorder="1" applyAlignment="1">
      <alignment wrapText="1"/>
    </xf>
    <xf numFmtId="44" fontId="3" fillId="10" borderId="3" xfId="1" applyNumberFormat="1" applyFont="1" applyFill="1" applyBorder="1" applyAlignment="1">
      <alignment wrapText="1"/>
    </xf>
    <xf numFmtId="44" fontId="3" fillId="5" borderId="18" xfId="0" applyNumberFormat="1" applyFont="1" applyFill="1" applyBorder="1" applyAlignment="1">
      <alignment wrapText="1"/>
    </xf>
    <xf numFmtId="44" fontId="3" fillId="16" borderId="18" xfId="0" applyNumberFormat="1" applyFont="1" applyFill="1" applyBorder="1" applyAlignment="1">
      <alignment wrapText="1"/>
    </xf>
    <xf numFmtId="0" fontId="3" fillId="5" borderId="17" xfId="0" applyFont="1" applyFill="1" applyBorder="1" applyAlignment="1">
      <alignment horizontal="left" vertical="center" wrapText="1"/>
    </xf>
    <xf numFmtId="0" fontId="3" fillId="5" borderId="15" xfId="0" applyFont="1" applyFill="1" applyBorder="1" applyAlignment="1">
      <alignment horizontal="left" vertical="center" wrapText="1"/>
    </xf>
    <xf numFmtId="0" fontId="3" fillId="14" borderId="17" xfId="0" applyFont="1" applyFill="1" applyBorder="1" applyAlignment="1">
      <alignment horizontal="left" vertical="center" wrapText="1"/>
    </xf>
    <xf numFmtId="0" fontId="5" fillId="0" borderId="15" xfId="0" applyFont="1" applyFill="1" applyBorder="1" applyAlignment="1">
      <alignment vertical="center" wrapText="1"/>
    </xf>
    <xf numFmtId="0" fontId="4" fillId="4" borderId="21" xfId="0" applyFont="1" applyFill="1" applyBorder="1" applyAlignment="1">
      <alignment horizontal="center"/>
    </xf>
    <xf numFmtId="0" fontId="4" fillId="3" borderId="21" xfId="0" applyFont="1" applyFill="1" applyBorder="1" applyAlignment="1">
      <alignment horizontal="center"/>
    </xf>
    <xf numFmtId="0" fontId="4" fillId="2" borderId="21" xfId="0" applyFont="1" applyFill="1" applyBorder="1" applyAlignment="1">
      <alignment horizontal="center" vertical="top"/>
    </xf>
    <xf numFmtId="0" fontId="4" fillId="6" borderId="21" xfId="0" applyFont="1" applyFill="1" applyBorder="1"/>
    <xf numFmtId="0" fontId="4" fillId="7" borderId="21" xfId="0" applyFont="1" applyFill="1" applyBorder="1"/>
    <xf numFmtId="0" fontId="4" fillId="8" borderId="21" xfId="0" applyFont="1" applyFill="1" applyBorder="1"/>
    <xf numFmtId="0" fontId="3" fillId="5" borderId="17" xfId="0" applyFont="1" applyFill="1" applyBorder="1" applyAlignment="1">
      <alignment horizontal="left" vertical="center" wrapText="1"/>
    </xf>
    <xf numFmtId="0" fontId="3" fillId="16" borderId="17" xfId="0" applyFont="1" applyFill="1" applyBorder="1" applyAlignment="1">
      <alignment horizontal="left" vertical="center" wrapText="1"/>
    </xf>
    <xf numFmtId="44" fontId="3" fillId="10" borderId="7" xfId="1" applyNumberFormat="1" applyFont="1" applyFill="1" applyBorder="1" applyAlignment="1">
      <alignment wrapText="1"/>
    </xf>
    <xf numFmtId="0" fontId="3" fillId="16" borderId="1" xfId="0" applyFont="1" applyFill="1" applyBorder="1" applyAlignment="1">
      <alignment horizontal="left" vertical="center" wrapText="1"/>
    </xf>
    <xf numFmtId="0" fontId="3" fillId="16" borderId="4" xfId="0" applyFont="1" applyFill="1" applyBorder="1" applyAlignment="1">
      <alignment wrapText="1"/>
    </xf>
    <xf numFmtId="44" fontId="3" fillId="16" borderId="4" xfId="0" applyNumberFormat="1" applyFont="1" applyFill="1" applyBorder="1" applyAlignment="1">
      <alignment wrapText="1"/>
    </xf>
    <xf numFmtId="0" fontId="3" fillId="16" borderId="9" xfId="0" applyFont="1" applyFill="1" applyBorder="1" applyAlignment="1">
      <alignment wrapText="1"/>
    </xf>
    <xf numFmtId="44" fontId="3" fillId="16" borderId="1" xfId="0" applyNumberFormat="1" applyFont="1" applyFill="1" applyBorder="1" applyAlignment="1">
      <alignment wrapText="1"/>
    </xf>
    <xf numFmtId="0" fontId="3" fillId="16" borderId="14" xfId="0" applyFont="1" applyFill="1" applyBorder="1" applyAlignment="1">
      <alignment wrapText="1"/>
    </xf>
    <xf numFmtId="0" fontId="3" fillId="5" borderId="3" xfId="0" applyFont="1" applyFill="1" applyBorder="1" applyAlignment="1">
      <alignment horizontal="right" wrapText="1"/>
    </xf>
    <xf numFmtId="164" fontId="3" fillId="10" borderId="1" xfId="0" applyNumberFormat="1" applyFont="1" applyFill="1" applyBorder="1" applyAlignment="1">
      <alignment wrapText="1"/>
    </xf>
    <xf numFmtId="0" fontId="7" fillId="12" borderId="4" xfId="0" applyFont="1" applyFill="1" applyBorder="1" applyAlignment="1">
      <alignment wrapText="1"/>
    </xf>
    <xf numFmtId="0" fontId="14" fillId="12" borderId="0" xfId="0" applyFont="1" applyFill="1" applyBorder="1" applyAlignment="1">
      <alignment wrapText="1"/>
    </xf>
    <xf numFmtId="0" fontId="3" fillId="0" borderId="0" xfId="0" applyFont="1" applyProtection="1">
      <protection locked="0"/>
    </xf>
    <xf numFmtId="0" fontId="3" fillId="9" borderId="0" xfId="0" applyFont="1" applyFill="1" applyProtection="1">
      <protection locked="0"/>
    </xf>
    <xf numFmtId="0" fontId="3" fillId="9" borderId="0" xfId="0" applyFont="1" applyFill="1" applyAlignment="1" applyProtection="1">
      <alignment vertical="top" wrapText="1"/>
      <protection locked="0"/>
    </xf>
    <xf numFmtId="0" fontId="3" fillId="9" borderId="0" xfId="0" applyFont="1" applyFill="1" applyBorder="1" applyAlignment="1" applyProtection="1">
      <alignment horizontal="right" vertical="top"/>
      <protection locked="0"/>
    </xf>
    <xf numFmtId="0" fontId="3" fillId="9" borderId="0" xfId="0" applyFont="1" applyFill="1" applyAlignment="1" applyProtection="1">
      <alignment wrapText="1"/>
      <protection locked="0"/>
    </xf>
    <xf numFmtId="0" fontId="3" fillId="9" borderId="0" xfId="0" applyFont="1" applyFill="1" applyAlignment="1" applyProtection="1">
      <protection locked="0"/>
    </xf>
    <xf numFmtId="0" fontId="3" fillId="9" borderId="0" xfId="0" applyFont="1" applyFill="1" applyAlignment="1" applyProtection="1">
      <alignment horizontal="left" wrapText="1"/>
      <protection locked="0"/>
    </xf>
    <xf numFmtId="0" fontId="3" fillId="9" borderId="0" xfId="0" applyFont="1" applyFill="1" applyBorder="1" applyAlignment="1" applyProtection="1">
      <alignment horizontal="right"/>
      <protection locked="0"/>
    </xf>
    <xf numFmtId="0" fontId="3" fillId="10" borderId="1" xfId="0" applyFont="1" applyFill="1" applyBorder="1" applyAlignment="1" applyProtection="1">
      <alignment wrapText="1"/>
      <protection locked="0"/>
    </xf>
    <xf numFmtId="0" fontId="3" fillId="0" borderId="0" xfId="0" applyFont="1" applyBorder="1" applyProtection="1">
      <protection locked="0"/>
    </xf>
    <xf numFmtId="0" fontId="3" fillId="9" borderId="0" xfId="0" applyFont="1" applyFill="1" applyBorder="1" applyProtection="1">
      <protection locked="0"/>
    </xf>
    <xf numFmtId="0" fontId="3" fillId="9" borderId="0" xfId="0" applyFont="1" applyFill="1" applyBorder="1" applyAlignment="1" applyProtection="1">
      <alignment horizontal="left" vertical="top"/>
      <protection locked="0"/>
    </xf>
    <xf numFmtId="0" fontId="3" fillId="9" borderId="19" xfId="0" applyFont="1" applyFill="1" applyBorder="1" applyProtection="1">
      <protection locked="0"/>
    </xf>
    <xf numFmtId="0" fontId="3" fillId="9" borderId="19" xfId="0" applyFont="1" applyFill="1" applyBorder="1" applyAlignment="1" applyProtection="1">
      <alignment vertical="top"/>
      <protection locked="0"/>
    </xf>
    <xf numFmtId="0" fontId="3" fillId="9" borderId="19" xfId="0" applyFont="1" applyFill="1" applyBorder="1" applyAlignment="1" applyProtection="1">
      <alignment wrapText="1"/>
      <protection locked="0"/>
    </xf>
    <xf numFmtId="0" fontId="3" fillId="9" borderId="0" xfId="0" applyFont="1" applyFill="1" applyBorder="1" applyAlignment="1" applyProtection="1">
      <alignment vertical="top"/>
      <protection locked="0"/>
    </xf>
    <xf numFmtId="0" fontId="3" fillId="9" borderId="0" xfId="0" applyFont="1" applyFill="1" applyBorder="1" applyAlignment="1" applyProtection="1">
      <alignment wrapText="1"/>
      <protection locked="0"/>
    </xf>
    <xf numFmtId="0" fontId="3" fillId="9" borderId="2" xfId="0" applyFont="1" applyFill="1" applyBorder="1" applyProtection="1">
      <protection locked="0"/>
    </xf>
    <xf numFmtId="0" fontId="3" fillId="9" borderId="0" xfId="0" applyFont="1" applyFill="1" applyBorder="1" applyAlignment="1" applyProtection="1">
      <alignment horizontal="center" vertical="center" wrapText="1"/>
      <protection locked="0"/>
    </xf>
    <xf numFmtId="0" fontId="3" fillId="9" borderId="2" xfId="0" applyFont="1" applyFill="1" applyBorder="1" applyAlignment="1" applyProtection="1">
      <alignment horizontal="right"/>
      <protection locked="0"/>
    </xf>
    <xf numFmtId="8" fontId="3" fillId="9" borderId="0" xfId="0" applyNumberFormat="1" applyFont="1" applyFill="1" applyBorder="1" applyProtection="1">
      <protection locked="0"/>
    </xf>
    <xf numFmtId="0" fontId="3" fillId="9" borderId="0" xfId="0" applyFont="1" applyFill="1" applyAlignment="1" applyProtection="1">
      <alignment vertical="center"/>
      <protection locked="0"/>
    </xf>
    <xf numFmtId="0" fontId="3" fillId="9" borderId="0" xfId="0" applyFont="1" applyFill="1" applyAlignment="1" applyProtection="1">
      <alignment horizontal="right" wrapText="1"/>
      <protection locked="0"/>
    </xf>
    <xf numFmtId="0" fontId="3" fillId="9" borderId="0" xfId="0" applyFont="1" applyFill="1" applyAlignment="1" applyProtection="1">
      <alignment horizontal="left" vertical="center"/>
      <protection locked="0"/>
    </xf>
    <xf numFmtId="0" fontId="3" fillId="9" borderId="0" xfId="0" applyFont="1" applyFill="1" applyAlignment="1" applyProtection="1">
      <alignment horizontal="center"/>
      <protection locked="0"/>
    </xf>
    <xf numFmtId="0" fontId="0" fillId="0" borderId="0" xfId="0" applyProtection="1">
      <protection locked="0"/>
    </xf>
    <xf numFmtId="0" fontId="13" fillId="5" borderId="1" xfId="0" quotePrefix="1" applyFont="1" applyFill="1" applyBorder="1" applyAlignment="1" applyProtection="1">
      <alignment horizontal="center" vertical="top" wrapText="1"/>
      <protection locked="0"/>
    </xf>
    <xf numFmtId="0" fontId="4" fillId="5" borderId="1" xfId="0" applyFont="1" applyFill="1" applyBorder="1" applyAlignment="1" applyProtection="1">
      <alignment horizontal="center" vertical="center" wrapText="1"/>
      <protection locked="0"/>
    </xf>
    <xf numFmtId="164" fontId="4" fillId="5" borderId="1" xfId="1" applyNumberFormat="1" applyFont="1" applyFill="1" applyBorder="1" applyAlignment="1" applyProtection="1">
      <alignment horizontal="center" wrapText="1"/>
      <protection locked="0"/>
    </xf>
    <xf numFmtId="0" fontId="12" fillId="0" borderId="9" xfId="0" applyFont="1" applyBorder="1" applyAlignment="1" applyProtection="1">
      <alignment horizontal="center"/>
      <protection locked="0"/>
    </xf>
    <xf numFmtId="0" fontId="3" fillId="5" borderId="15" xfId="0" applyFont="1" applyFill="1" applyBorder="1" applyAlignment="1" applyProtection="1">
      <alignment horizontal="left" vertical="center" wrapText="1"/>
      <protection locked="0"/>
    </xf>
    <xf numFmtId="164" fontId="3" fillId="10" borderId="11" xfId="1" applyNumberFormat="1" applyFont="1" applyFill="1" applyBorder="1" applyAlignment="1" applyProtection="1">
      <alignment wrapText="1"/>
      <protection locked="0"/>
    </xf>
    <xf numFmtId="164" fontId="0" fillId="0" borderId="1" xfId="0" applyNumberFormat="1" applyBorder="1" applyProtection="1">
      <protection locked="0"/>
    </xf>
    <xf numFmtId="0" fontId="3" fillId="12" borderId="17" xfId="0" applyFont="1" applyFill="1" applyBorder="1" applyAlignment="1" applyProtection="1">
      <alignment horizontal="left" vertical="center" wrapText="1"/>
      <protection locked="0"/>
    </xf>
    <xf numFmtId="164" fontId="3" fillId="10" borderId="1" xfId="1" applyNumberFormat="1" applyFont="1" applyFill="1" applyBorder="1" applyAlignment="1" applyProtection="1">
      <alignment wrapText="1"/>
      <protection locked="0"/>
    </xf>
    <xf numFmtId="164" fontId="0" fillId="12" borderId="1" xfId="0" applyNumberFormat="1" applyFill="1" applyBorder="1" applyProtection="1">
      <protection locked="0"/>
    </xf>
    <xf numFmtId="0" fontId="3" fillId="5" borderId="17" xfId="0" applyFont="1" applyFill="1" applyBorder="1" applyAlignment="1" applyProtection="1">
      <alignment horizontal="left" vertical="center" wrapText="1"/>
      <protection locked="0"/>
    </xf>
    <xf numFmtId="0" fontId="3" fillId="5" borderId="14" xfId="0" applyFont="1" applyFill="1" applyBorder="1" applyAlignment="1" applyProtection="1">
      <alignment horizontal="left" vertical="center" wrapText="1"/>
      <protection locked="0"/>
    </xf>
    <xf numFmtId="0" fontId="4" fillId="12" borderId="16" xfId="0" applyFont="1" applyFill="1" applyBorder="1" applyAlignment="1" applyProtection="1">
      <alignment vertical="center" wrapText="1"/>
      <protection locked="0"/>
    </xf>
    <xf numFmtId="8" fontId="4" fillId="12" borderId="1" xfId="1" applyNumberFormat="1" applyFont="1" applyFill="1" applyBorder="1" applyAlignment="1" applyProtection="1">
      <alignment wrapText="1"/>
      <protection locked="0"/>
    </xf>
    <xf numFmtId="0" fontId="3" fillId="14" borderId="1" xfId="0" applyFont="1" applyFill="1" applyBorder="1" applyAlignment="1" applyProtection="1">
      <alignment horizontal="left" vertical="center" wrapText="1"/>
      <protection locked="0"/>
    </xf>
    <xf numFmtId="164" fontId="0" fillId="14" borderId="1" xfId="0" applyNumberFormat="1" applyFill="1" applyBorder="1" applyProtection="1">
      <protection locked="0"/>
    </xf>
    <xf numFmtId="0" fontId="3" fillId="5" borderId="1" xfId="0" applyFont="1" applyFill="1" applyBorder="1" applyAlignment="1" applyProtection="1">
      <alignment horizontal="left" vertical="center" wrapText="1"/>
      <protection locked="0"/>
    </xf>
    <xf numFmtId="164" fontId="0" fillId="5" borderId="1" xfId="0" applyNumberFormat="1" applyFill="1" applyBorder="1" applyProtection="1">
      <protection locked="0"/>
    </xf>
    <xf numFmtId="0" fontId="3" fillId="14" borderId="15" xfId="0" applyFont="1" applyFill="1" applyBorder="1" applyAlignment="1" applyProtection="1">
      <alignment horizontal="left" vertical="center" wrapText="1"/>
      <protection locked="0"/>
    </xf>
    <xf numFmtId="0" fontId="3" fillId="14" borderId="17" xfId="0" applyFont="1" applyFill="1" applyBorder="1" applyAlignment="1" applyProtection="1">
      <alignment horizontal="left" vertical="center" wrapText="1"/>
      <protection locked="0"/>
    </xf>
    <xf numFmtId="0" fontId="4" fillId="14" borderId="16" xfId="0" applyFont="1" applyFill="1" applyBorder="1" applyAlignment="1" applyProtection="1">
      <alignment vertical="center" wrapText="1"/>
      <protection locked="0"/>
    </xf>
    <xf numFmtId="8" fontId="4" fillId="14" borderId="1" xfId="1" applyNumberFormat="1" applyFont="1" applyFill="1" applyBorder="1" applyAlignment="1" applyProtection="1">
      <alignment wrapText="1"/>
      <protection locked="0"/>
    </xf>
    <xf numFmtId="0" fontId="3" fillId="16" borderId="0" xfId="0" applyFont="1" applyFill="1" applyBorder="1" applyAlignment="1" applyProtection="1">
      <alignment horizontal="left" vertical="center" wrapText="1"/>
      <protection locked="0"/>
    </xf>
    <xf numFmtId="164" fontId="0" fillId="16" borderId="1" xfId="0" applyNumberFormat="1" applyFill="1" applyBorder="1" applyProtection="1">
      <protection locked="0"/>
    </xf>
    <xf numFmtId="0" fontId="3" fillId="16" borderId="14" xfId="0" applyFont="1" applyFill="1" applyBorder="1" applyAlignment="1" applyProtection="1">
      <alignment horizontal="left" vertical="center" wrapText="1"/>
      <protection locked="0"/>
    </xf>
    <xf numFmtId="0" fontId="3" fillId="5" borderId="3" xfId="0" applyFont="1" applyFill="1" applyBorder="1" applyAlignment="1" applyProtection="1">
      <alignment horizontal="left" vertical="center" wrapText="1"/>
      <protection locked="0"/>
    </xf>
    <xf numFmtId="0" fontId="3" fillId="16" borderId="3" xfId="0" applyFont="1" applyFill="1" applyBorder="1" applyAlignment="1" applyProtection="1">
      <alignment horizontal="left" vertical="center" wrapText="1"/>
      <protection locked="0"/>
    </xf>
    <xf numFmtId="0" fontId="4" fillId="15" borderId="0" xfId="0" applyFont="1" applyFill="1" applyBorder="1" applyAlignment="1" applyProtection="1">
      <alignment horizontal="center" vertical="center" wrapText="1"/>
      <protection locked="0"/>
    </xf>
    <xf numFmtId="0" fontId="4" fillId="16" borderId="16" xfId="0" applyFont="1" applyFill="1" applyBorder="1" applyAlignment="1" applyProtection="1">
      <alignment vertical="center" wrapText="1"/>
      <protection locked="0"/>
    </xf>
    <xf numFmtId="164" fontId="4" fillId="16" borderId="1" xfId="0" applyNumberFormat="1" applyFont="1" applyFill="1" applyBorder="1" applyAlignment="1" applyProtection="1">
      <alignment horizontal="right" vertical="center" wrapText="1"/>
      <protection locked="0"/>
    </xf>
    <xf numFmtId="0" fontId="4" fillId="0" borderId="0" xfId="0" applyFont="1" applyBorder="1" applyAlignment="1" applyProtection="1">
      <alignment vertical="center" wrapText="1"/>
      <protection locked="0"/>
    </xf>
    <xf numFmtId="0" fontId="3" fillId="0" borderId="0" xfId="0" applyFont="1" applyFill="1" applyBorder="1" applyAlignment="1" applyProtection="1">
      <alignment horizontal="left" vertical="center" wrapText="1"/>
      <protection locked="0"/>
    </xf>
    <xf numFmtId="44" fontId="3" fillId="0" borderId="0" xfId="1" applyFont="1" applyFill="1" applyBorder="1" applyAlignment="1" applyProtection="1">
      <alignment wrapText="1"/>
      <protection locked="0"/>
    </xf>
    <xf numFmtId="0" fontId="3" fillId="9" borderId="0" xfId="0" applyFont="1" applyFill="1" applyAlignment="1" applyProtection="1">
      <alignment horizontal="left" wrapText="1"/>
      <protection locked="0"/>
    </xf>
    <xf numFmtId="0" fontId="3" fillId="9" borderId="0" xfId="0" applyFont="1" applyFill="1" applyAlignment="1" applyProtection="1">
      <alignment horizontal="left" vertical="top"/>
      <protection locked="0"/>
    </xf>
    <xf numFmtId="0" fontId="4" fillId="9" borderId="0" xfId="0" applyFont="1" applyFill="1" applyAlignment="1" applyProtection="1">
      <alignment horizontal="left" vertical="top" wrapText="1"/>
      <protection locked="0"/>
    </xf>
    <xf numFmtId="8" fontId="3" fillId="9" borderId="0" xfId="0" applyNumberFormat="1" applyFont="1" applyFill="1" applyBorder="1" applyProtection="1"/>
    <xf numFmtId="165" fontId="3" fillId="9" borderId="0" xfId="0" applyNumberFormat="1" applyFont="1" applyFill="1" applyBorder="1" applyProtection="1"/>
    <xf numFmtId="0" fontId="3" fillId="9" borderId="0" xfId="0" applyFont="1" applyFill="1" applyAlignment="1" applyProtection="1">
      <alignment wrapText="1"/>
      <protection locked="0"/>
    </xf>
    <xf numFmtId="0" fontId="3" fillId="9" borderId="0" xfId="0" applyFont="1" applyFill="1" applyAlignment="1" applyProtection="1">
      <protection locked="0"/>
    </xf>
    <xf numFmtId="0" fontId="4" fillId="9" borderId="0" xfId="0" applyFont="1" applyFill="1" applyAlignment="1" applyProtection="1">
      <alignment horizontal="left" vertical="top" wrapText="1"/>
      <protection locked="0"/>
    </xf>
    <xf numFmtId="0" fontId="3" fillId="9" borderId="0" xfId="0" applyFont="1" applyFill="1" applyAlignment="1" applyProtection="1">
      <alignment vertical="center"/>
      <protection locked="0"/>
    </xf>
    <xf numFmtId="0" fontId="9" fillId="9" borderId="16" xfId="0" applyFont="1" applyFill="1" applyBorder="1" applyAlignment="1" applyProtection="1">
      <alignment horizontal="center"/>
      <protection locked="0"/>
    </xf>
    <xf numFmtId="0" fontId="9" fillId="9" borderId="17" xfId="0" applyFont="1" applyFill="1" applyBorder="1" applyAlignment="1" applyProtection="1">
      <alignment horizontal="center"/>
      <protection locked="0"/>
    </xf>
    <xf numFmtId="0" fontId="9" fillId="9" borderId="18" xfId="0" applyFont="1" applyFill="1" applyBorder="1" applyAlignment="1" applyProtection="1">
      <alignment horizontal="center"/>
      <protection locked="0"/>
    </xf>
    <xf numFmtId="0" fontId="10" fillId="9" borderId="0" xfId="2" applyFill="1" applyAlignment="1" applyProtection="1">
      <protection locked="0"/>
    </xf>
    <xf numFmtId="0" fontId="3" fillId="9" borderId="0" xfId="0" applyFont="1" applyFill="1" applyBorder="1" applyAlignment="1" applyProtection="1">
      <alignment vertical="top"/>
      <protection locked="0"/>
    </xf>
    <xf numFmtId="0" fontId="3" fillId="9" borderId="0" xfId="0" applyFont="1" applyFill="1" applyAlignment="1" applyProtection="1">
      <alignment vertical="top" wrapText="1"/>
      <protection locked="0"/>
    </xf>
    <xf numFmtId="0" fontId="3" fillId="9" borderId="0" xfId="0" applyFont="1" applyFill="1" applyAlignment="1" applyProtection="1">
      <alignment horizontal="left" wrapText="1"/>
      <protection locked="0"/>
    </xf>
    <xf numFmtId="0" fontId="3" fillId="9" borderId="6" xfId="0" applyFont="1" applyFill="1" applyBorder="1" applyAlignment="1" applyProtection="1">
      <alignment horizontal="left" wrapText="1"/>
      <protection locked="0"/>
    </xf>
    <xf numFmtId="0" fontId="2" fillId="17" borderId="20" xfId="0" quotePrefix="1" applyFont="1" applyFill="1" applyBorder="1" applyAlignment="1" applyProtection="1">
      <alignment horizontal="center" vertical="top" wrapText="1"/>
      <protection locked="0"/>
    </xf>
    <xf numFmtId="0" fontId="2" fillId="17" borderId="0" xfId="0" quotePrefix="1" applyFont="1" applyFill="1" applyBorder="1" applyAlignment="1" applyProtection="1">
      <alignment horizontal="center" vertical="top" wrapText="1"/>
      <protection locked="0"/>
    </xf>
    <xf numFmtId="0" fontId="3" fillId="10" borderId="1" xfId="0" applyFont="1" applyFill="1" applyBorder="1" applyAlignment="1" applyProtection="1">
      <alignment horizontal="left"/>
      <protection locked="0"/>
    </xf>
    <xf numFmtId="0" fontId="3" fillId="9" borderId="0" xfId="0" applyFont="1" applyFill="1" applyAlignment="1" applyProtection="1">
      <alignment horizontal="right"/>
      <protection locked="0"/>
    </xf>
    <xf numFmtId="0" fontId="3" fillId="9" borderId="0" xfId="0" applyFont="1" applyFill="1" applyBorder="1" applyAlignment="1" applyProtection="1">
      <alignment horizontal="center" vertical="center" wrapText="1"/>
      <protection locked="0"/>
    </xf>
    <xf numFmtId="0" fontId="9" fillId="9" borderId="0" xfId="0" applyFont="1" applyFill="1" applyAlignment="1" applyProtection="1">
      <alignment horizontal="right"/>
      <protection locked="0"/>
    </xf>
    <xf numFmtId="0" fontId="3" fillId="10" borderId="16" xfId="0" applyFont="1" applyFill="1" applyBorder="1" applyAlignment="1" applyProtection="1">
      <alignment horizontal="left"/>
      <protection locked="0"/>
    </xf>
    <xf numFmtId="0" fontId="3" fillId="10" borderId="17" xfId="0" applyFont="1" applyFill="1" applyBorder="1" applyAlignment="1" applyProtection="1">
      <alignment horizontal="left"/>
      <protection locked="0"/>
    </xf>
    <xf numFmtId="0" fontId="3" fillId="10" borderId="18" xfId="0" applyFont="1" applyFill="1" applyBorder="1" applyAlignment="1" applyProtection="1">
      <alignment horizontal="left"/>
      <protection locked="0"/>
    </xf>
    <xf numFmtId="0" fontId="9" fillId="9" borderId="2" xfId="0"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3" fillId="9" borderId="0" xfId="0" applyFont="1" applyFill="1" applyAlignment="1" applyProtection="1">
      <alignment horizontal="left" vertical="top" wrapText="1"/>
      <protection locked="0"/>
    </xf>
    <xf numFmtId="0" fontId="3" fillId="9" borderId="0" xfId="0" applyFont="1" applyFill="1" applyAlignment="1" applyProtection="1">
      <alignment horizontal="right" wrapText="1"/>
      <protection locked="0"/>
    </xf>
    <xf numFmtId="0" fontId="3" fillId="9" borderId="0" xfId="0" applyFont="1" applyFill="1" applyAlignment="1" applyProtection="1">
      <alignment horizontal="center"/>
      <protection locked="0"/>
    </xf>
    <xf numFmtId="0" fontId="3" fillId="9" borderId="0" xfId="0" applyFont="1" applyFill="1" applyAlignment="1" applyProtection="1">
      <alignment horizontal="right" vertical="center"/>
      <protection locked="0"/>
    </xf>
    <xf numFmtId="0" fontId="3" fillId="9" borderId="6" xfId="0" applyFont="1" applyFill="1" applyBorder="1" applyAlignment="1" applyProtection="1">
      <alignment horizontal="right" vertical="center"/>
      <protection locked="0"/>
    </xf>
    <xf numFmtId="0" fontId="3" fillId="9" borderId="6" xfId="0" applyFont="1" applyFill="1" applyBorder="1" applyAlignment="1" applyProtection="1">
      <alignment horizontal="right" wrapText="1"/>
      <protection locked="0"/>
    </xf>
    <xf numFmtId="0" fontId="3" fillId="10" borderId="3" xfId="0" applyFont="1" applyFill="1" applyBorder="1" applyAlignment="1" applyProtection="1">
      <alignment horizontal="center"/>
      <protection locked="0"/>
    </xf>
    <xf numFmtId="0" fontId="3" fillId="10" borderId="14" xfId="0" applyFont="1" applyFill="1" applyBorder="1" applyAlignment="1" applyProtection="1">
      <alignment horizontal="center"/>
      <protection locked="0"/>
    </xf>
    <xf numFmtId="0" fontId="3" fillId="10" borderId="4" xfId="0" applyFont="1" applyFill="1" applyBorder="1" applyAlignment="1" applyProtection="1">
      <alignment horizontal="center"/>
      <protection locked="0"/>
    </xf>
    <xf numFmtId="0" fontId="3" fillId="10" borderId="5" xfId="0" applyFont="1" applyFill="1" applyBorder="1" applyAlignment="1" applyProtection="1">
      <alignment horizontal="center"/>
      <protection locked="0"/>
    </xf>
    <xf numFmtId="0" fontId="3" fillId="10" borderId="0" xfId="0" applyFont="1" applyFill="1" applyBorder="1" applyAlignment="1" applyProtection="1">
      <alignment horizontal="center"/>
      <protection locked="0"/>
    </xf>
    <xf numFmtId="0" fontId="3" fillId="10" borderId="6" xfId="0" applyFont="1" applyFill="1" applyBorder="1" applyAlignment="1" applyProtection="1">
      <alignment horizontal="center"/>
      <protection locked="0"/>
    </xf>
    <xf numFmtId="0" fontId="3" fillId="10" borderId="7" xfId="0" applyFont="1" applyFill="1" applyBorder="1" applyAlignment="1" applyProtection="1">
      <alignment horizontal="center"/>
      <protection locked="0"/>
    </xf>
    <xf numFmtId="0" fontId="3" fillId="10" borderId="15" xfId="0" applyFont="1" applyFill="1" applyBorder="1" applyAlignment="1" applyProtection="1">
      <alignment horizontal="center"/>
      <protection locked="0"/>
    </xf>
    <xf numFmtId="0" fontId="3" fillId="10" borderId="8" xfId="0" applyFont="1" applyFill="1" applyBorder="1" applyAlignment="1" applyProtection="1">
      <alignment horizontal="center"/>
      <protection locked="0"/>
    </xf>
    <xf numFmtId="0" fontId="3" fillId="9" borderId="2" xfId="0" applyFont="1" applyFill="1" applyBorder="1" applyAlignment="1" applyProtection="1">
      <alignment horizontal="center"/>
      <protection locked="0"/>
    </xf>
    <xf numFmtId="0" fontId="4" fillId="15" borderId="9" xfId="0" applyFont="1" applyFill="1" applyBorder="1" applyAlignment="1" applyProtection="1">
      <alignment horizontal="center" vertical="center" wrapText="1"/>
      <protection locked="0"/>
    </xf>
    <xf numFmtId="0" fontId="4" fillId="15" borderId="10" xfId="0" applyFont="1" applyFill="1" applyBorder="1" applyAlignment="1" applyProtection="1">
      <alignment horizontal="center" vertical="center" wrapText="1"/>
      <protection locked="0"/>
    </xf>
    <xf numFmtId="0" fontId="4" fillId="11" borderId="10" xfId="0" applyFont="1" applyFill="1" applyBorder="1" applyAlignment="1" applyProtection="1">
      <alignment horizontal="center" vertical="center" wrapText="1"/>
      <protection locked="0"/>
    </xf>
    <xf numFmtId="0" fontId="4" fillId="11" borderId="7" xfId="0" applyFont="1" applyFill="1" applyBorder="1" applyAlignment="1" applyProtection="1">
      <alignment horizontal="center" vertical="center" wrapText="1"/>
      <protection locked="0"/>
    </xf>
    <xf numFmtId="0" fontId="4" fillId="13" borderId="10" xfId="0" applyFont="1" applyFill="1" applyBorder="1" applyAlignment="1" applyProtection="1">
      <alignment horizontal="center" vertical="center" wrapText="1"/>
      <protection locked="0"/>
    </xf>
    <xf numFmtId="0" fontId="4" fillId="13" borderId="7" xfId="0" applyFont="1" applyFill="1" applyBorder="1" applyAlignment="1" applyProtection="1">
      <alignment horizontal="center" vertical="center" wrapText="1"/>
      <protection locked="0"/>
    </xf>
    <xf numFmtId="0" fontId="11" fillId="17" borderId="22" xfId="0" quotePrefix="1" applyFont="1" applyFill="1" applyBorder="1" applyAlignment="1" applyProtection="1">
      <alignment horizontal="center" vertical="top" wrapText="1"/>
      <protection locked="0"/>
    </xf>
    <xf numFmtId="0" fontId="11" fillId="17" borderId="23" xfId="0" quotePrefix="1" applyFont="1" applyFill="1" applyBorder="1" applyAlignment="1" applyProtection="1">
      <alignment horizontal="center" vertical="top" wrapText="1"/>
      <protection locked="0"/>
    </xf>
    <xf numFmtId="0" fontId="3" fillId="16" borderId="17" xfId="0" applyFont="1" applyFill="1" applyBorder="1" applyAlignment="1">
      <alignment horizontal="left" vertical="center" wrapText="1"/>
    </xf>
    <xf numFmtId="0" fontId="3" fillId="16" borderId="18"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8" xfId="0" applyFont="1" applyFill="1" applyBorder="1" applyAlignment="1">
      <alignment horizontal="left" vertical="center" wrapText="1"/>
    </xf>
    <xf numFmtId="0" fontId="4" fillId="15" borderId="9" xfId="0" applyFont="1" applyFill="1" applyBorder="1" applyAlignment="1">
      <alignment horizontal="center" vertical="center" wrapText="1"/>
    </xf>
    <xf numFmtId="0" fontId="4" fillId="15" borderId="10" xfId="0" applyFont="1" applyFill="1" applyBorder="1" applyAlignment="1">
      <alignment horizontal="center" vertical="center" wrapText="1"/>
    </xf>
    <xf numFmtId="0" fontId="4" fillId="15" borderId="5" xfId="0" applyFont="1" applyFill="1" applyBorder="1" applyAlignment="1">
      <alignment horizontal="center" vertical="center" wrapText="1"/>
    </xf>
    <xf numFmtId="0" fontId="4" fillId="15" borderId="7" xfId="0" applyFont="1" applyFill="1" applyBorder="1" applyAlignment="1">
      <alignment horizontal="center" vertical="center" wrapText="1"/>
    </xf>
    <xf numFmtId="0" fontId="3" fillId="5" borderId="3" xfId="0" applyFont="1" applyFill="1" applyBorder="1" applyAlignment="1">
      <alignment horizontal="left" vertical="center" wrapText="1"/>
    </xf>
    <xf numFmtId="0" fontId="3" fillId="5" borderId="7" xfId="0" applyFont="1" applyFill="1" applyBorder="1" applyAlignment="1">
      <alignment horizontal="left" vertical="center" wrapText="1"/>
    </xf>
    <xf numFmtId="0" fontId="3" fillId="10" borderId="3" xfId="0" applyFont="1" applyFill="1" applyBorder="1" applyAlignment="1">
      <alignment horizontal="left" vertical="center" wrapText="1"/>
    </xf>
    <xf numFmtId="0" fontId="3" fillId="10" borderId="7" xfId="0" applyFont="1" applyFill="1" applyBorder="1" applyAlignment="1">
      <alignment horizontal="left" vertical="center" wrapText="1"/>
    </xf>
    <xf numFmtId="0" fontId="2" fillId="17" borderId="12" xfId="0" quotePrefix="1" applyFont="1" applyFill="1" applyBorder="1" applyAlignment="1">
      <alignment horizontal="center" vertical="top" wrapText="1"/>
    </xf>
    <xf numFmtId="0" fontId="2" fillId="17" borderId="13" xfId="0" quotePrefix="1" applyFont="1" applyFill="1" applyBorder="1" applyAlignment="1">
      <alignment horizontal="center" vertical="top" wrapText="1"/>
    </xf>
    <xf numFmtId="0" fontId="3" fillId="5" borderId="14" xfId="0" applyFont="1" applyFill="1" applyBorder="1" applyAlignment="1">
      <alignment horizontal="left" vertical="center" wrapText="1"/>
    </xf>
    <xf numFmtId="0" fontId="3" fillId="5" borderId="0"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1" xfId="0" applyFont="1" applyFill="1" applyBorder="1" applyAlignment="1">
      <alignment horizontal="left" vertical="center" wrapText="1"/>
    </xf>
    <xf numFmtId="0" fontId="3" fillId="14" borderId="14" xfId="0" applyFont="1" applyFill="1" applyBorder="1" applyAlignment="1">
      <alignment horizontal="left" vertical="center" wrapText="1"/>
    </xf>
    <xf numFmtId="0" fontId="3" fillId="14" borderId="15" xfId="0" applyFont="1" applyFill="1" applyBorder="1" applyAlignment="1">
      <alignment horizontal="left" vertical="center" wrapText="1"/>
    </xf>
    <xf numFmtId="0" fontId="4" fillId="11" borderId="9" xfId="0" applyFont="1" applyFill="1" applyBorder="1" applyAlignment="1">
      <alignment horizontal="center" vertical="center" wrapText="1"/>
    </xf>
    <xf numFmtId="0" fontId="4" fillId="11" borderId="10" xfId="0" applyFont="1" applyFill="1" applyBorder="1" applyAlignment="1">
      <alignment horizontal="center" vertical="center" wrapText="1"/>
    </xf>
    <xf numFmtId="0" fontId="4" fillId="11" borderId="7" xfId="0" applyFont="1" applyFill="1" applyBorder="1" applyAlignment="1">
      <alignment horizontal="center" vertical="center" wrapText="1"/>
    </xf>
    <xf numFmtId="0" fontId="4" fillId="13" borderId="9" xfId="0" applyFont="1" applyFill="1" applyBorder="1" applyAlignment="1">
      <alignment horizontal="center" vertical="center" wrapText="1"/>
    </xf>
    <xf numFmtId="0" fontId="4" fillId="13" borderId="10" xfId="0" applyFont="1" applyFill="1" applyBorder="1" applyAlignment="1">
      <alignment horizontal="center" vertical="center" wrapText="1"/>
    </xf>
    <xf numFmtId="0" fontId="4" fillId="13" borderId="7" xfId="0" applyFont="1" applyFill="1" applyBorder="1" applyAlignment="1">
      <alignment horizontal="center" vertical="center" wrapText="1"/>
    </xf>
    <xf numFmtId="0" fontId="3" fillId="14" borderId="17" xfId="0" applyFont="1" applyFill="1" applyBorder="1" applyAlignment="1">
      <alignment horizontal="left" vertical="center" wrapText="1"/>
    </xf>
    <xf numFmtId="0" fontId="3" fillId="14" borderId="18" xfId="0" applyFont="1" applyFill="1" applyBorder="1" applyAlignment="1">
      <alignment horizontal="left" vertical="center" wrapText="1"/>
    </xf>
  </cellXfs>
  <cellStyles count="3">
    <cellStyle name="Currency" xfId="1" builtinId="4"/>
    <cellStyle name="Hyperlink" xfId="2" builtinId="8"/>
    <cellStyle name="Normal" xfId="0" builtinId="0"/>
  </cellStyles>
  <dxfs count="0"/>
  <tableStyles count="0" defaultTableStyle="TableStyleMedium2" defaultPivotStyle="PivotStyleLight16"/>
  <colors>
    <mruColors>
      <color rgb="FFFFFF9B"/>
      <color rgb="FF9FC9C4"/>
      <color rgb="FFD4C4B6"/>
      <color rgb="FFFF5050"/>
      <color rgb="FF447872"/>
      <color rgb="FF8B6E53"/>
      <color rgb="FF8B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ist" dx="22" fmlaRange="Questions!$F$2:$F$4" multiSel="" noThreeD="1" sel="1" seltype="multi" val="0"/>
</file>

<file path=xl/ctrlProps/ctrlProp2.xml><?xml version="1.0" encoding="utf-8"?>
<formControlPr xmlns="http://schemas.microsoft.com/office/spreadsheetml/2009/9/main" objectType="List" dx="22" fmlaRange="Questions!$F$2:$F$4" multiSel="" noThreeD="1" sel="0" seltype="multi" val="0"/>
</file>

<file path=xl/drawings/_rels/drawing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2.xml.rels><?xml version="1.0" encoding="UTF-8" standalone="yes"?>
<Relationships xmlns="http://schemas.openxmlformats.org/package/2006/relationships"><Relationship Id="rId1" Type="http://schemas.openxmlformats.org/officeDocument/2006/relationships/image" Target="../media/image14.png"/></Relationships>
</file>

<file path=xl/drawings/_rels/drawing3.xml.rels><?xml version="1.0" encoding="UTF-8" standalone="yes"?>
<Relationships xmlns="http://schemas.openxmlformats.org/package/2006/relationships"><Relationship Id="rId8" Type="http://schemas.openxmlformats.org/officeDocument/2006/relationships/hyperlink" Target="#January!C12"/><Relationship Id="rId13" Type="http://schemas.openxmlformats.org/officeDocument/2006/relationships/hyperlink" Target="#January!C24"/><Relationship Id="rId18" Type="http://schemas.openxmlformats.org/officeDocument/2006/relationships/hyperlink" Target="#January!C29"/><Relationship Id="rId26" Type="http://schemas.openxmlformats.org/officeDocument/2006/relationships/hyperlink" Target="#January!C36"/><Relationship Id="rId3" Type="http://schemas.openxmlformats.org/officeDocument/2006/relationships/hyperlink" Target="#January!C5"/><Relationship Id="rId21" Type="http://schemas.openxmlformats.org/officeDocument/2006/relationships/hyperlink" Target="#January!C30"/><Relationship Id="rId34" Type="http://schemas.openxmlformats.org/officeDocument/2006/relationships/hyperlink" Target="#January!C45"/><Relationship Id="rId7" Type="http://schemas.openxmlformats.org/officeDocument/2006/relationships/hyperlink" Target="#January!C11"/><Relationship Id="rId12" Type="http://schemas.openxmlformats.org/officeDocument/2006/relationships/hyperlink" Target="#January!C23"/><Relationship Id="rId17" Type="http://schemas.openxmlformats.org/officeDocument/2006/relationships/hyperlink" Target="#January!C28"/><Relationship Id="rId25" Type="http://schemas.openxmlformats.org/officeDocument/2006/relationships/hyperlink" Target="#January!C22"/><Relationship Id="rId33" Type="http://schemas.openxmlformats.org/officeDocument/2006/relationships/hyperlink" Target="#January!C43"/><Relationship Id="rId2" Type="http://schemas.openxmlformats.org/officeDocument/2006/relationships/hyperlink" Target="#January!C4"/><Relationship Id="rId16" Type="http://schemas.openxmlformats.org/officeDocument/2006/relationships/hyperlink" Target="#January!C27"/><Relationship Id="rId20" Type="http://schemas.openxmlformats.org/officeDocument/2006/relationships/hyperlink" Target="#January!C17"/><Relationship Id="rId29" Type="http://schemas.openxmlformats.org/officeDocument/2006/relationships/hyperlink" Target="#January!C37"/><Relationship Id="rId1" Type="http://schemas.openxmlformats.org/officeDocument/2006/relationships/image" Target="../media/image13.png"/><Relationship Id="rId6" Type="http://schemas.openxmlformats.org/officeDocument/2006/relationships/hyperlink" Target="#January!C10"/><Relationship Id="rId11" Type="http://schemas.openxmlformats.org/officeDocument/2006/relationships/hyperlink" Target="#January!C21"/><Relationship Id="rId24" Type="http://schemas.openxmlformats.org/officeDocument/2006/relationships/hyperlink" Target="#January!C9"/><Relationship Id="rId32" Type="http://schemas.openxmlformats.org/officeDocument/2006/relationships/hyperlink" Target="#January!C42"/><Relationship Id="rId37" Type="http://schemas.openxmlformats.org/officeDocument/2006/relationships/hyperlink" Target="#January!C47"/><Relationship Id="rId5" Type="http://schemas.openxmlformats.org/officeDocument/2006/relationships/hyperlink" Target="#January!C7"/><Relationship Id="rId15" Type="http://schemas.openxmlformats.org/officeDocument/2006/relationships/hyperlink" Target="#January!C26"/><Relationship Id="rId23" Type="http://schemas.openxmlformats.org/officeDocument/2006/relationships/hyperlink" Target="#January!C8"/><Relationship Id="rId28" Type="http://schemas.openxmlformats.org/officeDocument/2006/relationships/hyperlink" Target="#January!C35"/><Relationship Id="rId36" Type="http://schemas.openxmlformats.org/officeDocument/2006/relationships/hyperlink" Target="#January!C46"/><Relationship Id="rId10" Type="http://schemas.openxmlformats.org/officeDocument/2006/relationships/hyperlink" Target="#January!C19"/><Relationship Id="rId19" Type="http://schemas.openxmlformats.org/officeDocument/2006/relationships/hyperlink" Target="#January!C32"/><Relationship Id="rId31" Type="http://schemas.openxmlformats.org/officeDocument/2006/relationships/hyperlink" Target="#January!C41"/><Relationship Id="rId4" Type="http://schemas.openxmlformats.org/officeDocument/2006/relationships/hyperlink" Target="#January!C6"/><Relationship Id="rId9" Type="http://schemas.openxmlformats.org/officeDocument/2006/relationships/hyperlink" Target="#January!C13"/><Relationship Id="rId14" Type="http://schemas.openxmlformats.org/officeDocument/2006/relationships/hyperlink" Target="#January!C25"/><Relationship Id="rId22" Type="http://schemas.openxmlformats.org/officeDocument/2006/relationships/hyperlink" Target="#January!C20"/><Relationship Id="rId27" Type="http://schemas.openxmlformats.org/officeDocument/2006/relationships/hyperlink" Target="#January!C38"/><Relationship Id="rId30" Type="http://schemas.openxmlformats.org/officeDocument/2006/relationships/hyperlink" Target="#January!C40"/><Relationship Id="rId35" Type="http://schemas.openxmlformats.org/officeDocument/2006/relationships/hyperlink" Target="#January!C44"/></Relationships>
</file>

<file path=xl/drawings/_rels/drawing4.xml.rels><?xml version="1.0" encoding="UTF-8" standalone="yes"?>
<Relationships xmlns="http://schemas.openxmlformats.org/package/2006/relationships"><Relationship Id="rId8" Type="http://schemas.openxmlformats.org/officeDocument/2006/relationships/hyperlink" Target="#February!C12"/><Relationship Id="rId13" Type="http://schemas.openxmlformats.org/officeDocument/2006/relationships/hyperlink" Target="#February!C24"/><Relationship Id="rId18" Type="http://schemas.openxmlformats.org/officeDocument/2006/relationships/hyperlink" Target="#February!C29"/><Relationship Id="rId26" Type="http://schemas.openxmlformats.org/officeDocument/2006/relationships/hyperlink" Target="#February!C20"/><Relationship Id="rId39" Type="http://schemas.openxmlformats.org/officeDocument/2006/relationships/hyperlink" Target="#February!C47"/><Relationship Id="rId3" Type="http://schemas.openxmlformats.org/officeDocument/2006/relationships/hyperlink" Target="#February!C5"/><Relationship Id="rId21" Type="http://schemas.openxmlformats.org/officeDocument/2006/relationships/hyperlink" Target="#February!C30"/><Relationship Id="rId34" Type="http://schemas.openxmlformats.org/officeDocument/2006/relationships/hyperlink" Target="#February!C42"/><Relationship Id="rId7" Type="http://schemas.openxmlformats.org/officeDocument/2006/relationships/hyperlink" Target="#February!C11"/><Relationship Id="rId12" Type="http://schemas.openxmlformats.org/officeDocument/2006/relationships/hyperlink" Target="#February!C23"/><Relationship Id="rId17" Type="http://schemas.openxmlformats.org/officeDocument/2006/relationships/hyperlink" Target="#February!C28"/><Relationship Id="rId25" Type="http://schemas.openxmlformats.org/officeDocument/2006/relationships/hyperlink" Target="#February!C21"/><Relationship Id="rId33" Type="http://schemas.openxmlformats.org/officeDocument/2006/relationships/hyperlink" Target="#February!C41"/><Relationship Id="rId38" Type="http://schemas.openxmlformats.org/officeDocument/2006/relationships/hyperlink" Target="#February!C46"/><Relationship Id="rId2" Type="http://schemas.openxmlformats.org/officeDocument/2006/relationships/hyperlink" Target="#February!C4"/><Relationship Id="rId16" Type="http://schemas.openxmlformats.org/officeDocument/2006/relationships/hyperlink" Target="#February!C27"/><Relationship Id="rId20" Type="http://schemas.openxmlformats.org/officeDocument/2006/relationships/hyperlink" Target="#February!C15"/><Relationship Id="rId29" Type="http://schemas.openxmlformats.org/officeDocument/2006/relationships/hyperlink" Target="#February!C38"/><Relationship Id="rId1" Type="http://schemas.openxmlformats.org/officeDocument/2006/relationships/image" Target="../media/image13.png"/><Relationship Id="rId6" Type="http://schemas.openxmlformats.org/officeDocument/2006/relationships/hyperlink" Target="#February!C10"/><Relationship Id="rId11" Type="http://schemas.openxmlformats.org/officeDocument/2006/relationships/hyperlink" Target="#February!C19"/><Relationship Id="rId24" Type="http://schemas.openxmlformats.org/officeDocument/2006/relationships/hyperlink" Target="#February!C9"/><Relationship Id="rId32" Type="http://schemas.openxmlformats.org/officeDocument/2006/relationships/hyperlink" Target="#February!C40"/><Relationship Id="rId37" Type="http://schemas.openxmlformats.org/officeDocument/2006/relationships/hyperlink" Target="#February!C44"/><Relationship Id="rId5" Type="http://schemas.openxmlformats.org/officeDocument/2006/relationships/hyperlink" Target="#February!C7"/><Relationship Id="rId15" Type="http://schemas.openxmlformats.org/officeDocument/2006/relationships/hyperlink" Target="#February!C26"/><Relationship Id="rId23" Type="http://schemas.openxmlformats.org/officeDocument/2006/relationships/hyperlink" Target="#February!C8"/><Relationship Id="rId28" Type="http://schemas.openxmlformats.org/officeDocument/2006/relationships/hyperlink" Target="#February!C36"/><Relationship Id="rId36" Type="http://schemas.openxmlformats.org/officeDocument/2006/relationships/hyperlink" Target="#February!C45"/><Relationship Id="rId10" Type="http://schemas.openxmlformats.org/officeDocument/2006/relationships/hyperlink" Target="#February!C17"/><Relationship Id="rId19" Type="http://schemas.openxmlformats.org/officeDocument/2006/relationships/hyperlink" Target="#February!C32"/><Relationship Id="rId31" Type="http://schemas.openxmlformats.org/officeDocument/2006/relationships/hyperlink" Target="#February!C37"/><Relationship Id="rId4" Type="http://schemas.openxmlformats.org/officeDocument/2006/relationships/hyperlink" Target="#February!C6"/><Relationship Id="rId9" Type="http://schemas.openxmlformats.org/officeDocument/2006/relationships/hyperlink" Target="#February!C13"/><Relationship Id="rId14" Type="http://schemas.openxmlformats.org/officeDocument/2006/relationships/hyperlink" Target="#February!C25"/><Relationship Id="rId22" Type="http://schemas.openxmlformats.org/officeDocument/2006/relationships/hyperlink" Target="#February!C18"/><Relationship Id="rId27" Type="http://schemas.openxmlformats.org/officeDocument/2006/relationships/hyperlink" Target="#February!C22"/><Relationship Id="rId30" Type="http://schemas.openxmlformats.org/officeDocument/2006/relationships/hyperlink" Target="#February!C35"/><Relationship Id="rId35" Type="http://schemas.openxmlformats.org/officeDocument/2006/relationships/hyperlink" Target="#February!C43"/></Relationships>
</file>

<file path=xl/drawings/_rels/drawing5.xml.rels><?xml version="1.0" encoding="UTF-8" standalone="yes"?>
<Relationships xmlns="http://schemas.openxmlformats.org/package/2006/relationships"><Relationship Id="rId8" Type="http://schemas.openxmlformats.org/officeDocument/2006/relationships/hyperlink" Target="#March!C12"/><Relationship Id="rId13" Type="http://schemas.openxmlformats.org/officeDocument/2006/relationships/hyperlink" Target="#March!C24"/><Relationship Id="rId18" Type="http://schemas.openxmlformats.org/officeDocument/2006/relationships/hyperlink" Target="#March!C29"/><Relationship Id="rId26" Type="http://schemas.openxmlformats.org/officeDocument/2006/relationships/hyperlink" Target="#March!C20"/><Relationship Id="rId39" Type="http://schemas.openxmlformats.org/officeDocument/2006/relationships/hyperlink" Target="#March!C47"/><Relationship Id="rId3" Type="http://schemas.openxmlformats.org/officeDocument/2006/relationships/hyperlink" Target="#March!C5"/><Relationship Id="rId21" Type="http://schemas.openxmlformats.org/officeDocument/2006/relationships/hyperlink" Target="#March!C30"/><Relationship Id="rId34" Type="http://schemas.openxmlformats.org/officeDocument/2006/relationships/hyperlink" Target="#March!C42"/><Relationship Id="rId7" Type="http://schemas.openxmlformats.org/officeDocument/2006/relationships/hyperlink" Target="#March!C11"/><Relationship Id="rId12" Type="http://schemas.openxmlformats.org/officeDocument/2006/relationships/hyperlink" Target="#March!C23"/><Relationship Id="rId17" Type="http://schemas.openxmlformats.org/officeDocument/2006/relationships/hyperlink" Target="#March!C28"/><Relationship Id="rId25" Type="http://schemas.openxmlformats.org/officeDocument/2006/relationships/hyperlink" Target="#March!C21"/><Relationship Id="rId33" Type="http://schemas.openxmlformats.org/officeDocument/2006/relationships/hyperlink" Target="#March!C41"/><Relationship Id="rId38" Type="http://schemas.openxmlformats.org/officeDocument/2006/relationships/hyperlink" Target="#March!C46"/><Relationship Id="rId2" Type="http://schemas.openxmlformats.org/officeDocument/2006/relationships/hyperlink" Target="#March!C4"/><Relationship Id="rId16" Type="http://schemas.openxmlformats.org/officeDocument/2006/relationships/hyperlink" Target="#March!C27"/><Relationship Id="rId20" Type="http://schemas.openxmlformats.org/officeDocument/2006/relationships/hyperlink" Target="#March!C15"/><Relationship Id="rId29" Type="http://schemas.openxmlformats.org/officeDocument/2006/relationships/hyperlink" Target="#March!C38"/><Relationship Id="rId1" Type="http://schemas.openxmlformats.org/officeDocument/2006/relationships/image" Target="../media/image13.png"/><Relationship Id="rId6" Type="http://schemas.openxmlformats.org/officeDocument/2006/relationships/hyperlink" Target="#March!C10"/><Relationship Id="rId11" Type="http://schemas.openxmlformats.org/officeDocument/2006/relationships/hyperlink" Target="#March!C19"/><Relationship Id="rId24" Type="http://schemas.openxmlformats.org/officeDocument/2006/relationships/hyperlink" Target="#March!C9"/><Relationship Id="rId32" Type="http://schemas.openxmlformats.org/officeDocument/2006/relationships/hyperlink" Target="#March!C40"/><Relationship Id="rId37" Type="http://schemas.openxmlformats.org/officeDocument/2006/relationships/hyperlink" Target="#March!C44"/><Relationship Id="rId5" Type="http://schemas.openxmlformats.org/officeDocument/2006/relationships/hyperlink" Target="#March!C7"/><Relationship Id="rId15" Type="http://schemas.openxmlformats.org/officeDocument/2006/relationships/hyperlink" Target="#March!C26"/><Relationship Id="rId23" Type="http://schemas.openxmlformats.org/officeDocument/2006/relationships/hyperlink" Target="#March!C8"/><Relationship Id="rId28" Type="http://schemas.openxmlformats.org/officeDocument/2006/relationships/hyperlink" Target="#March!C36"/><Relationship Id="rId36" Type="http://schemas.openxmlformats.org/officeDocument/2006/relationships/hyperlink" Target="#March!C45"/><Relationship Id="rId10" Type="http://schemas.openxmlformats.org/officeDocument/2006/relationships/hyperlink" Target="#March!C17"/><Relationship Id="rId19" Type="http://schemas.openxmlformats.org/officeDocument/2006/relationships/hyperlink" Target="#March!C32"/><Relationship Id="rId31" Type="http://schemas.openxmlformats.org/officeDocument/2006/relationships/hyperlink" Target="#March!C37"/><Relationship Id="rId4" Type="http://schemas.openxmlformats.org/officeDocument/2006/relationships/hyperlink" Target="#March!C6"/><Relationship Id="rId9" Type="http://schemas.openxmlformats.org/officeDocument/2006/relationships/hyperlink" Target="#March!C13"/><Relationship Id="rId14" Type="http://schemas.openxmlformats.org/officeDocument/2006/relationships/hyperlink" Target="#March!C25"/><Relationship Id="rId22" Type="http://schemas.openxmlformats.org/officeDocument/2006/relationships/hyperlink" Target="#March!C18"/><Relationship Id="rId27" Type="http://schemas.openxmlformats.org/officeDocument/2006/relationships/hyperlink" Target="#March!C22"/><Relationship Id="rId30" Type="http://schemas.openxmlformats.org/officeDocument/2006/relationships/hyperlink" Target="#March!C35"/><Relationship Id="rId35" Type="http://schemas.openxmlformats.org/officeDocument/2006/relationships/hyperlink" Target="#March!C43"/></Relationships>
</file>

<file path=xl/drawings/_rels/drawing6.xml.rels><?xml version="1.0" encoding="UTF-8" standalone="yes"?>
<Relationships xmlns="http://schemas.openxmlformats.org/package/2006/relationships"><Relationship Id="rId8" Type="http://schemas.openxmlformats.org/officeDocument/2006/relationships/hyperlink" Target="#April!C12"/><Relationship Id="rId13" Type="http://schemas.openxmlformats.org/officeDocument/2006/relationships/hyperlink" Target="#April!C24"/><Relationship Id="rId18" Type="http://schemas.openxmlformats.org/officeDocument/2006/relationships/hyperlink" Target="#April!C29"/><Relationship Id="rId26" Type="http://schemas.openxmlformats.org/officeDocument/2006/relationships/hyperlink" Target="#April!C20"/><Relationship Id="rId39" Type="http://schemas.openxmlformats.org/officeDocument/2006/relationships/hyperlink" Target="#April!C47"/><Relationship Id="rId3" Type="http://schemas.openxmlformats.org/officeDocument/2006/relationships/hyperlink" Target="#April!C5"/><Relationship Id="rId21" Type="http://schemas.openxmlformats.org/officeDocument/2006/relationships/hyperlink" Target="#April!C30"/><Relationship Id="rId34" Type="http://schemas.openxmlformats.org/officeDocument/2006/relationships/hyperlink" Target="#April!C42"/><Relationship Id="rId7" Type="http://schemas.openxmlformats.org/officeDocument/2006/relationships/hyperlink" Target="#April!C11"/><Relationship Id="rId12" Type="http://schemas.openxmlformats.org/officeDocument/2006/relationships/hyperlink" Target="#April!C23"/><Relationship Id="rId17" Type="http://schemas.openxmlformats.org/officeDocument/2006/relationships/hyperlink" Target="#April!C28"/><Relationship Id="rId25" Type="http://schemas.openxmlformats.org/officeDocument/2006/relationships/hyperlink" Target="#April!C21"/><Relationship Id="rId33" Type="http://schemas.openxmlformats.org/officeDocument/2006/relationships/hyperlink" Target="#April!C41"/><Relationship Id="rId38" Type="http://schemas.openxmlformats.org/officeDocument/2006/relationships/hyperlink" Target="#April!C46"/><Relationship Id="rId2" Type="http://schemas.openxmlformats.org/officeDocument/2006/relationships/hyperlink" Target="#April!C4"/><Relationship Id="rId16" Type="http://schemas.openxmlformats.org/officeDocument/2006/relationships/hyperlink" Target="#April!C27"/><Relationship Id="rId20" Type="http://schemas.openxmlformats.org/officeDocument/2006/relationships/hyperlink" Target="#April!C15"/><Relationship Id="rId29" Type="http://schemas.openxmlformats.org/officeDocument/2006/relationships/hyperlink" Target="#April!C38"/><Relationship Id="rId1" Type="http://schemas.openxmlformats.org/officeDocument/2006/relationships/image" Target="../media/image13.png"/><Relationship Id="rId6" Type="http://schemas.openxmlformats.org/officeDocument/2006/relationships/hyperlink" Target="#April!C10"/><Relationship Id="rId11" Type="http://schemas.openxmlformats.org/officeDocument/2006/relationships/hyperlink" Target="#April!C19"/><Relationship Id="rId24" Type="http://schemas.openxmlformats.org/officeDocument/2006/relationships/hyperlink" Target="#April!C9"/><Relationship Id="rId32" Type="http://schemas.openxmlformats.org/officeDocument/2006/relationships/hyperlink" Target="#April!C40"/><Relationship Id="rId37" Type="http://schemas.openxmlformats.org/officeDocument/2006/relationships/hyperlink" Target="#April!C44"/><Relationship Id="rId5" Type="http://schemas.openxmlformats.org/officeDocument/2006/relationships/hyperlink" Target="#April!C7"/><Relationship Id="rId15" Type="http://schemas.openxmlformats.org/officeDocument/2006/relationships/hyperlink" Target="#April!C26"/><Relationship Id="rId23" Type="http://schemas.openxmlformats.org/officeDocument/2006/relationships/hyperlink" Target="#April!C8"/><Relationship Id="rId28" Type="http://schemas.openxmlformats.org/officeDocument/2006/relationships/hyperlink" Target="#April!C36"/><Relationship Id="rId36" Type="http://schemas.openxmlformats.org/officeDocument/2006/relationships/hyperlink" Target="#April!C45"/><Relationship Id="rId10" Type="http://schemas.openxmlformats.org/officeDocument/2006/relationships/hyperlink" Target="#April!C17"/><Relationship Id="rId19" Type="http://schemas.openxmlformats.org/officeDocument/2006/relationships/hyperlink" Target="#April!C32"/><Relationship Id="rId31" Type="http://schemas.openxmlformats.org/officeDocument/2006/relationships/hyperlink" Target="#April!C37"/><Relationship Id="rId4" Type="http://schemas.openxmlformats.org/officeDocument/2006/relationships/hyperlink" Target="#April!C6"/><Relationship Id="rId9" Type="http://schemas.openxmlformats.org/officeDocument/2006/relationships/hyperlink" Target="#April!C13"/><Relationship Id="rId14" Type="http://schemas.openxmlformats.org/officeDocument/2006/relationships/hyperlink" Target="#April!C25"/><Relationship Id="rId22" Type="http://schemas.openxmlformats.org/officeDocument/2006/relationships/hyperlink" Target="#April!C18"/><Relationship Id="rId27" Type="http://schemas.openxmlformats.org/officeDocument/2006/relationships/hyperlink" Target="#C22"/><Relationship Id="rId30" Type="http://schemas.openxmlformats.org/officeDocument/2006/relationships/hyperlink" Target="#April!C35"/><Relationship Id="rId35" Type="http://schemas.openxmlformats.org/officeDocument/2006/relationships/hyperlink" Target="#April!C43"/></Relationships>
</file>

<file path=xl/drawings/_rels/drawing7.xml.rels><?xml version="1.0" encoding="UTF-8" standalone="yes"?>
<Relationships xmlns="http://schemas.openxmlformats.org/package/2006/relationships"><Relationship Id="rId8" Type="http://schemas.openxmlformats.org/officeDocument/2006/relationships/hyperlink" Target="#May!C12"/><Relationship Id="rId13" Type="http://schemas.openxmlformats.org/officeDocument/2006/relationships/hyperlink" Target="#May!C24"/><Relationship Id="rId18" Type="http://schemas.openxmlformats.org/officeDocument/2006/relationships/hyperlink" Target="#May!C29"/><Relationship Id="rId26" Type="http://schemas.openxmlformats.org/officeDocument/2006/relationships/hyperlink" Target="#May!C20"/><Relationship Id="rId39" Type="http://schemas.openxmlformats.org/officeDocument/2006/relationships/hyperlink" Target="#May!C47"/><Relationship Id="rId3" Type="http://schemas.openxmlformats.org/officeDocument/2006/relationships/hyperlink" Target="#May!C5"/><Relationship Id="rId21" Type="http://schemas.openxmlformats.org/officeDocument/2006/relationships/hyperlink" Target="#May!C30"/><Relationship Id="rId34" Type="http://schemas.openxmlformats.org/officeDocument/2006/relationships/hyperlink" Target="#May!C42"/><Relationship Id="rId7" Type="http://schemas.openxmlformats.org/officeDocument/2006/relationships/hyperlink" Target="#May!C11"/><Relationship Id="rId12" Type="http://schemas.openxmlformats.org/officeDocument/2006/relationships/hyperlink" Target="#May!C23"/><Relationship Id="rId17" Type="http://schemas.openxmlformats.org/officeDocument/2006/relationships/hyperlink" Target="#May!C28"/><Relationship Id="rId25" Type="http://schemas.openxmlformats.org/officeDocument/2006/relationships/hyperlink" Target="#May!C21"/><Relationship Id="rId33" Type="http://schemas.openxmlformats.org/officeDocument/2006/relationships/hyperlink" Target="#May!C41"/><Relationship Id="rId38" Type="http://schemas.openxmlformats.org/officeDocument/2006/relationships/hyperlink" Target="#May!C46"/><Relationship Id="rId2" Type="http://schemas.openxmlformats.org/officeDocument/2006/relationships/hyperlink" Target="#May!C4"/><Relationship Id="rId16" Type="http://schemas.openxmlformats.org/officeDocument/2006/relationships/hyperlink" Target="#May!C27"/><Relationship Id="rId20" Type="http://schemas.openxmlformats.org/officeDocument/2006/relationships/hyperlink" Target="#May!C15"/><Relationship Id="rId29" Type="http://schemas.openxmlformats.org/officeDocument/2006/relationships/hyperlink" Target="#May!C38"/><Relationship Id="rId1" Type="http://schemas.openxmlformats.org/officeDocument/2006/relationships/image" Target="../media/image13.png"/><Relationship Id="rId6" Type="http://schemas.openxmlformats.org/officeDocument/2006/relationships/hyperlink" Target="#May!C10"/><Relationship Id="rId11" Type="http://schemas.openxmlformats.org/officeDocument/2006/relationships/hyperlink" Target="#May!C19"/><Relationship Id="rId24" Type="http://schemas.openxmlformats.org/officeDocument/2006/relationships/hyperlink" Target="#May!C9"/><Relationship Id="rId32" Type="http://schemas.openxmlformats.org/officeDocument/2006/relationships/hyperlink" Target="#May!C40"/><Relationship Id="rId37" Type="http://schemas.openxmlformats.org/officeDocument/2006/relationships/hyperlink" Target="#May!C44"/><Relationship Id="rId5" Type="http://schemas.openxmlformats.org/officeDocument/2006/relationships/hyperlink" Target="#May!C7"/><Relationship Id="rId15" Type="http://schemas.openxmlformats.org/officeDocument/2006/relationships/hyperlink" Target="#May!C26"/><Relationship Id="rId23" Type="http://schemas.openxmlformats.org/officeDocument/2006/relationships/hyperlink" Target="#May!C8"/><Relationship Id="rId28" Type="http://schemas.openxmlformats.org/officeDocument/2006/relationships/hyperlink" Target="#May!C36"/><Relationship Id="rId36" Type="http://schemas.openxmlformats.org/officeDocument/2006/relationships/hyperlink" Target="#May!C45"/><Relationship Id="rId10" Type="http://schemas.openxmlformats.org/officeDocument/2006/relationships/hyperlink" Target="#May!C17"/><Relationship Id="rId19" Type="http://schemas.openxmlformats.org/officeDocument/2006/relationships/hyperlink" Target="#May!C32"/><Relationship Id="rId31" Type="http://schemas.openxmlformats.org/officeDocument/2006/relationships/hyperlink" Target="#May!C37"/><Relationship Id="rId4" Type="http://schemas.openxmlformats.org/officeDocument/2006/relationships/hyperlink" Target="#May!C6"/><Relationship Id="rId9" Type="http://schemas.openxmlformats.org/officeDocument/2006/relationships/hyperlink" Target="#May!C13"/><Relationship Id="rId14" Type="http://schemas.openxmlformats.org/officeDocument/2006/relationships/hyperlink" Target="#May!C25"/><Relationship Id="rId22" Type="http://schemas.openxmlformats.org/officeDocument/2006/relationships/hyperlink" Target="#May!C18"/><Relationship Id="rId27" Type="http://schemas.openxmlformats.org/officeDocument/2006/relationships/hyperlink" Target="#May!C22"/><Relationship Id="rId30" Type="http://schemas.openxmlformats.org/officeDocument/2006/relationships/hyperlink" Target="#May!C35"/><Relationship Id="rId35" Type="http://schemas.openxmlformats.org/officeDocument/2006/relationships/hyperlink" Target="#May!C43"/></Relationships>
</file>

<file path=xl/drawings/_rels/drawing8.xml.rels><?xml version="1.0" encoding="UTF-8" standalone="yes"?>
<Relationships xmlns="http://schemas.openxmlformats.org/package/2006/relationships"><Relationship Id="rId8" Type="http://schemas.openxmlformats.org/officeDocument/2006/relationships/hyperlink" Target="#June!C12"/><Relationship Id="rId13" Type="http://schemas.openxmlformats.org/officeDocument/2006/relationships/hyperlink" Target="#June!C24"/><Relationship Id="rId18" Type="http://schemas.openxmlformats.org/officeDocument/2006/relationships/hyperlink" Target="#June!C29"/><Relationship Id="rId26" Type="http://schemas.openxmlformats.org/officeDocument/2006/relationships/hyperlink" Target="#June!C20"/><Relationship Id="rId39" Type="http://schemas.openxmlformats.org/officeDocument/2006/relationships/hyperlink" Target="#June!C47"/><Relationship Id="rId3" Type="http://schemas.openxmlformats.org/officeDocument/2006/relationships/hyperlink" Target="#June!C5"/><Relationship Id="rId21" Type="http://schemas.openxmlformats.org/officeDocument/2006/relationships/hyperlink" Target="#June!C30"/><Relationship Id="rId34" Type="http://schemas.openxmlformats.org/officeDocument/2006/relationships/hyperlink" Target="#June!C42"/><Relationship Id="rId7" Type="http://schemas.openxmlformats.org/officeDocument/2006/relationships/hyperlink" Target="#June!C11"/><Relationship Id="rId12" Type="http://schemas.openxmlformats.org/officeDocument/2006/relationships/hyperlink" Target="#June!C23"/><Relationship Id="rId17" Type="http://schemas.openxmlformats.org/officeDocument/2006/relationships/hyperlink" Target="#June!C28"/><Relationship Id="rId25" Type="http://schemas.openxmlformats.org/officeDocument/2006/relationships/hyperlink" Target="#June!C21"/><Relationship Id="rId33" Type="http://schemas.openxmlformats.org/officeDocument/2006/relationships/hyperlink" Target="#June!C41"/><Relationship Id="rId38" Type="http://schemas.openxmlformats.org/officeDocument/2006/relationships/hyperlink" Target="#June!C46"/><Relationship Id="rId2" Type="http://schemas.openxmlformats.org/officeDocument/2006/relationships/hyperlink" Target="#June!C4"/><Relationship Id="rId16" Type="http://schemas.openxmlformats.org/officeDocument/2006/relationships/hyperlink" Target="#June!C27"/><Relationship Id="rId20" Type="http://schemas.openxmlformats.org/officeDocument/2006/relationships/hyperlink" Target="#June!C15"/><Relationship Id="rId29" Type="http://schemas.openxmlformats.org/officeDocument/2006/relationships/hyperlink" Target="#June!C38"/><Relationship Id="rId1" Type="http://schemas.openxmlformats.org/officeDocument/2006/relationships/image" Target="../media/image13.png"/><Relationship Id="rId6" Type="http://schemas.openxmlformats.org/officeDocument/2006/relationships/hyperlink" Target="#June!C10"/><Relationship Id="rId11" Type="http://schemas.openxmlformats.org/officeDocument/2006/relationships/hyperlink" Target="#June!C19"/><Relationship Id="rId24" Type="http://schemas.openxmlformats.org/officeDocument/2006/relationships/hyperlink" Target="#June!C9"/><Relationship Id="rId32" Type="http://schemas.openxmlformats.org/officeDocument/2006/relationships/hyperlink" Target="#June!C40"/><Relationship Id="rId37" Type="http://schemas.openxmlformats.org/officeDocument/2006/relationships/hyperlink" Target="#June!C44"/><Relationship Id="rId5" Type="http://schemas.openxmlformats.org/officeDocument/2006/relationships/hyperlink" Target="#June!C7"/><Relationship Id="rId15" Type="http://schemas.openxmlformats.org/officeDocument/2006/relationships/hyperlink" Target="#June!C26"/><Relationship Id="rId23" Type="http://schemas.openxmlformats.org/officeDocument/2006/relationships/hyperlink" Target="#June!C8"/><Relationship Id="rId28" Type="http://schemas.openxmlformats.org/officeDocument/2006/relationships/hyperlink" Target="#June!C36"/><Relationship Id="rId36" Type="http://schemas.openxmlformats.org/officeDocument/2006/relationships/hyperlink" Target="#June!C45"/><Relationship Id="rId10" Type="http://schemas.openxmlformats.org/officeDocument/2006/relationships/hyperlink" Target="#June!C17"/><Relationship Id="rId19" Type="http://schemas.openxmlformats.org/officeDocument/2006/relationships/hyperlink" Target="#June!C32"/><Relationship Id="rId31" Type="http://schemas.openxmlformats.org/officeDocument/2006/relationships/hyperlink" Target="#June!C37"/><Relationship Id="rId4" Type="http://schemas.openxmlformats.org/officeDocument/2006/relationships/hyperlink" Target="#June!C6"/><Relationship Id="rId9" Type="http://schemas.openxmlformats.org/officeDocument/2006/relationships/hyperlink" Target="#June!C13"/><Relationship Id="rId14" Type="http://schemas.openxmlformats.org/officeDocument/2006/relationships/hyperlink" Target="#June!C25"/><Relationship Id="rId22" Type="http://schemas.openxmlformats.org/officeDocument/2006/relationships/hyperlink" Target="#June!C18"/><Relationship Id="rId27" Type="http://schemas.openxmlformats.org/officeDocument/2006/relationships/hyperlink" Target="#June!C22"/><Relationship Id="rId30" Type="http://schemas.openxmlformats.org/officeDocument/2006/relationships/hyperlink" Target="#June!C35"/><Relationship Id="rId35" Type="http://schemas.openxmlformats.org/officeDocument/2006/relationships/hyperlink" Target="#June!C43"/></Relationships>
</file>

<file path=xl/drawings/_rels/drawing9.xml.rels><?xml version="1.0" encoding="UTF-8" standalone="yes"?>
<Relationships xmlns="http://schemas.openxmlformats.org/package/2006/relationships"><Relationship Id="rId8" Type="http://schemas.openxmlformats.org/officeDocument/2006/relationships/hyperlink" Target="#July!C12"/><Relationship Id="rId13" Type="http://schemas.openxmlformats.org/officeDocument/2006/relationships/hyperlink" Target="#July!C24"/><Relationship Id="rId18" Type="http://schemas.openxmlformats.org/officeDocument/2006/relationships/hyperlink" Target="#July!C29"/><Relationship Id="rId26" Type="http://schemas.openxmlformats.org/officeDocument/2006/relationships/hyperlink" Target="#July!C20"/><Relationship Id="rId39" Type="http://schemas.openxmlformats.org/officeDocument/2006/relationships/hyperlink" Target="#July!C47"/><Relationship Id="rId3" Type="http://schemas.openxmlformats.org/officeDocument/2006/relationships/hyperlink" Target="#July!C5"/><Relationship Id="rId21" Type="http://schemas.openxmlformats.org/officeDocument/2006/relationships/hyperlink" Target="#July!C30"/><Relationship Id="rId34" Type="http://schemas.openxmlformats.org/officeDocument/2006/relationships/hyperlink" Target="#July!C42"/><Relationship Id="rId7" Type="http://schemas.openxmlformats.org/officeDocument/2006/relationships/hyperlink" Target="#July!C11"/><Relationship Id="rId12" Type="http://schemas.openxmlformats.org/officeDocument/2006/relationships/hyperlink" Target="#July!C23"/><Relationship Id="rId17" Type="http://schemas.openxmlformats.org/officeDocument/2006/relationships/hyperlink" Target="#July!C28"/><Relationship Id="rId25" Type="http://schemas.openxmlformats.org/officeDocument/2006/relationships/hyperlink" Target="#July!C21"/><Relationship Id="rId33" Type="http://schemas.openxmlformats.org/officeDocument/2006/relationships/hyperlink" Target="#July!C41"/><Relationship Id="rId38" Type="http://schemas.openxmlformats.org/officeDocument/2006/relationships/hyperlink" Target="#July!C46"/><Relationship Id="rId2" Type="http://schemas.openxmlformats.org/officeDocument/2006/relationships/hyperlink" Target="#July!C4"/><Relationship Id="rId16" Type="http://schemas.openxmlformats.org/officeDocument/2006/relationships/hyperlink" Target="#July!C27"/><Relationship Id="rId20" Type="http://schemas.openxmlformats.org/officeDocument/2006/relationships/hyperlink" Target="#July!C15"/><Relationship Id="rId29" Type="http://schemas.openxmlformats.org/officeDocument/2006/relationships/hyperlink" Target="#July!C38"/><Relationship Id="rId1" Type="http://schemas.openxmlformats.org/officeDocument/2006/relationships/image" Target="../media/image13.png"/><Relationship Id="rId6" Type="http://schemas.openxmlformats.org/officeDocument/2006/relationships/hyperlink" Target="#July!C10"/><Relationship Id="rId11" Type="http://schemas.openxmlformats.org/officeDocument/2006/relationships/hyperlink" Target="#July!C19"/><Relationship Id="rId24" Type="http://schemas.openxmlformats.org/officeDocument/2006/relationships/hyperlink" Target="#July!C9"/><Relationship Id="rId32" Type="http://schemas.openxmlformats.org/officeDocument/2006/relationships/hyperlink" Target="#July!C40"/><Relationship Id="rId37" Type="http://schemas.openxmlformats.org/officeDocument/2006/relationships/hyperlink" Target="#July!C44"/><Relationship Id="rId5" Type="http://schemas.openxmlformats.org/officeDocument/2006/relationships/hyperlink" Target="#July!C7"/><Relationship Id="rId15" Type="http://schemas.openxmlformats.org/officeDocument/2006/relationships/hyperlink" Target="#July!C26"/><Relationship Id="rId23" Type="http://schemas.openxmlformats.org/officeDocument/2006/relationships/hyperlink" Target="#July!C8"/><Relationship Id="rId28" Type="http://schemas.openxmlformats.org/officeDocument/2006/relationships/hyperlink" Target="#July!C36"/><Relationship Id="rId36" Type="http://schemas.openxmlformats.org/officeDocument/2006/relationships/hyperlink" Target="#July!C45"/><Relationship Id="rId10" Type="http://schemas.openxmlformats.org/officeDocument/2006/relationships/hyperlink" Target="#July!C17"/><Relationship Id="rId19" Type="http://schemas.openxmlformats.org/officeDocument/2006/relationships/hyperlink" Target="#July!C32"/><Relationship Id="rId31" Type="http://schemas.openxmlformats.org/officeDocument/2006/relationships/hyperlink" Target="#July!C37"/><Relationship Id="rId4" Type="http://schemas.openxmlformats.org/officeDocument/2006/relationships/hyperlink" Target="#July!C6"/><Relationship Id="rId9" Type="http://schemas.openxmlformats.org/officeDocument/2006/relationships/hyperlink" Target="#July!C13"/><Relationship Id="rId14" Type="http://schemas.openxmlformats.org/officeDocument/2006/relationships/hyperlink" Target="#July!C25"/><Relationship Id="rId22" Type="http://schemas.openxmlformats.org/officeDocument/2006/relationships/hyperlink" Target="#July!C18"/><Relationship Id="rId27" Type="http://schemas.openxmlformats.org/officeDocument/2006/relationships/hyperlink" Target="#July!C22"/><Relationship Id="rId30" Type="http://schemas.openxmlformats.org/officeDocument/2006/relationships/hyperlink" Target="#July!C35"/><Relationship Id="rId35" Type="http://schemas.openxmlformats.org/officeDocument/2006/relationships/hyperlink" Target="#July!C43"/></Relationships>
</file>

<file path=xl/drawings/_rels/drawing10.xml.rels><?xml version="1.0" encoding="UTF-8" standalone="yes"?>
<Relationships xmlns="http://schemas.openxmlformats.org/package/2006/relationships"><Relationship Id="rId8" Type="http://schemas.openxmlformats.org/officeDocument/2006/relationships/hyperlink" Target="#August!C12"/><Relationship Id="rId13" Type="http://schemas.openxmlformats.org/officeDocument/2006/relationships/hyperlink" Target="#August!C24"/><Relationship Id="rId18" Type="http://schemas.openxmlformats.org/officeDocument/2006/relationships/hyperlink" Target="#August!C29"/><Relationship Id="rId26" Type="http://schemas.openxmlformats.org/officeDocument/2006/relationships/hyperlink" Target="#August!C20"/><Relationship Id="rId39" Type="http://schemas.openxmlformats.org/officeDocument/2006/relationships/hyperlink" Target="#August!C47"/><Relationship Id="rId3" Type="http://schemas.openxmlformats.org/officeDocument/2006/relationships/hyperlink" Target="#August!C5"/><Relationship Id="rId21" Type="http://schemas.openxmlformats.org/officeDocument/2006/relationships/hyperlink" Target="#August!C30"/><Relationship Id="rId34" Type="http://schemas.openxmlformats.org/officeDocument/2006/relationships/hyperlink" Target="#August!C42"/><Relationship Id="rId7" Type="http://schemas.openxmlformats.org/officeDocument/2006/relationships/hyperlink" Target="#August!C11"/><Relationship Id="rId12" Type="http://schemas.openxmlformats.org/officeDocument/2006/relationships/hyperlink" Target="#August!C23"/><Relationship Id="rId17" Type="http://schemas.openxmlformats.org/officeDocument/2006/relationships/hyperlink" Target="#August!C28"/><Relationship Id="rId25" Type="http://schemas.openxmlformats.org/officeDocument/2006/relationships/hyperlink" Target="#August!C21"/><Relationship Id="rId33" Type="http://schemas.openxmlformats.org/officeDocument/2006/relationships/hyperlink" Target="#August!C41"/><Relationship Id="rId38" Type="http://schemas.openxmlformats.org/officeDocument/2006/relationships/hyperlink" Target="#August!C46"/><Relationship Id="rId2" Type="http://schemas.openxmlformats.org/officeDocument/2006/relationships/hyperlink" Target="#August!C4"/><Relationship Id="rId16" Type="http://schemas.openxmlformats.org/officeDocument/2006/relationships/hyperlink" Target="#August!C27"/><Relationship Id="rId20" Type="http://schemas.openxmlformats.org/officeDocument/2006/relationships/hyperlink" Target="#August!C15"/><Relationship Id="rId29" Type="http://schemas.openxmlformats.org/officeDocument/2006/relationships/hyperlink" Target="#August!C38"/><Relationship Id="rId1" Type="http://schemas.openxmlformats.org/officeDocument/2006/relationships/image" Target="../media/image13.png"/><Relationship Id="rId6" Type="http://schemas.openxmlformats.org/officeDocument/2006/relationships/hyperlink" Target="#August!C10"/><Relationship Id="rId11" Type="http://schemas.openxmlformats.org/officeDocument/2006/relationships/hyperlink" Target="#August!C19"/><Relationship Id="rId24" Type="http://schemas.openxmlformats.org/officeDocument/2006/relationships/hyperlink" Target="#August!C9"/><Relationship Id="rId32" Type="http://schemas.openxmlformats.org/officeDocument/2006/relationships/hyperlink" Target="#August!C40"/><Relationship Id="rId37" Type="http://schemas.openxmlformats.org/officeDocument/2006/relationships/hyperlink" Target="#August!C44"/><Relationship Id="rId5" Type="http://schemas.openxmlformats.org/officeDocument/2006/relationships/hyperlink" Target="#August!C7"/><Relationship Id="rId15" Type="http://schemas.openxmlformats.org/officeDocument/2006/relationships/hyperlink" Target="#August!C26"/><Relationship Id="rId23" Type="http://schemas.openxmlformats.org/officeDocument/2006/relationships/hyperlink" Target="#August!C8"/><Relationship Id="rId28" Type="http://schemas.openxmlformats.org/officeDocument/2006/relationships/hyperlink" Target="#C36"/><Relationship Id="rId36" Type="http://schemas.openxmlformats.org/officeDocument/2006/relationships/hyperlink" Target="#August!C45"/><Relationship Id="rId10" Type="http://schemas.openxmlformats.org/officeDocument/2006/relationships/hyperlink" Target="#August!C17"/><Relationship Id="rId19" Type="http://schemas.openxmlformats.org/officeDocument/2006/relationships/hyperlink" Target="#August!C32"/><Relationship Id="rId31" Type="http://schemas.openxmlformats.org/officeDocument/2006/relationships/hyperlink" Target="#August!C37"/><Relationship Id="rId4" Type="http://schemas.openxmlformats.org/officeDocument/2006/relationships/hyperlink" Target="#August!C6"/><Relationship Id="rId9" Type="http://schemas.openxmlformats.org/officeDocument/2006/relationships/hyperlink" Target="#August!C13"/><Relationship Id="rId14" Type="http://schemas.openxmlformats.org/officeDocument/2006/relationships/hyperlink" Target="#August!C25"/><Relationship Id="rId22" Type="http://schemas.openxmlformats.org/officeDocument/2006/relationships/hyperlink" Target="#August!C18"/><Relationship Id="rId27" Type="http://schemas.openxmlformats.org/officeDocument/2006/relationships/hyperlink" Target="#August!C22"/><Relationship Id="rId30" Type="http://schemas.openxmlformats.org/officeDocument/2006/relationships/hyperlink" Target="#August!C35"/><Relationship Id="rId35" Type="http://schemas.openxmlformats.org/officeDocument/2006/relationships/hyperlink" Target="#August!C43"/></Relationships>
</file>

<file path=xl/drawings/_rels/drawing11.xml.rels><?xml version="1.0" encoding="UTF-8" standalone="yes"?>
<Relationships xmlns="http://schemas.openxmlformats.org/package/2006/relationships"><Relationship Id="rId8" Type="http://schemas.openxmlformats.org/officeDocument/2006/relationships/hyperlink" Target="#September!C12"/><Relationship Id="rId13" Type="http://schemas.openxmlformats.org/officeDocument/2006/relationships/hyperlink" Target="#September!C24"/><Relationship Id="rId18" Type="http://schemas.openxmlformats.org/officeDocument/2006/relationships/hyperlink" Target="#September!C29"/><Relationship Id="rId26" Type="http://schemas.openxmlformats.org/officeDocument/2006/relationships/hyperlink" Target="#September!C20"/><Relationship Id="rId39" Type="http://schemas.openxmlformats.org/officeDocument/2006/relationships/hyperlink" Target="#September!C47"/><Relationship Id="rId3" Type="http://schemas.openxmlformats.org/officeDocument/2006/relationships/hyperlink" Target="#September!C5"/><Relationship Id="rId21" Type="http://schemas.openxmlformats.org/officeDocument/2006/relationships/hyperlink" Target="#September!C30"/><Relationship Id="rId34" Type="http://schemas.openxmlformats.org/officeDocument/2006/relationships/hyperlink" Target="#September!C42"/><Relationship Id="rId7" Type="http://schemas.openxmlformats.org/officeDocument/2006/relationships/hyperlink" Target="#September!C11"/><Relationship Id="rId12" Type="http://schemas.openxmlformats.org/officeDocument/2006/relationships/hyperlink" Target="#September!C23"/><Relationship Id="rId17" Type="http://schemas.openxmlformats.org/officeDocument/2006/relationships/hyperlink" Target="#September!C28"/><Relationship Id="rId25" Type="http://schemas.openxmlformats.org/officeDocument/2006/relationships/hyperlink" Target="#September!C21"/><Relationship Id="rId33" Type="http://schemas.openxmlformats.org/officeDocument/2006/relationships/hyperlink" Target="#September!C41"/><Relationship Id="rId38" Type="http://schemas.openxmlformats.org/officeDocument/2006/relationships/hyperlink" Target="#September!C46"/><Relationship Id="rId2" Type="http://schemas.openxmlformats.org/officeDocument/2006/relationships/hyperlink" Target="#September!C4"/><Relationship Id="rId16" Type="http://schemas.openxmlformats.org/officeDocument/2006/relationships/hyperlink" Target="#September!C27"/><Relationship Id="rId20" Type="http://schemas.openxmlformats.org/officeDocument/2006/relationships/hyperlink" Target="#September!C15"/><Relationship Id="rId29" Type="http://schemas.openxmlformats.org/officeDocument/2006/relationships/hyperlink" Target="#September!C38"/><Relationship Id="rId1" Type="http://schemas.openxmlformats.org/officeDocument/2006/relationships/image" Target="../media/image13.png"/><Relationship Id="rId6" Type="http://schemas.openxmlformats.org/officeDocument/2006/relationships/hyperlink" Target="#September!C10"/><Relationship Id="rId11" Type="http://schemas.openxmlformats.org/officeDocument/2006/relationships/hyperlink" Target="#September!C19"/><Relationship Id="rId24" Type="http://schemas.openxmlformats.org/officeDocument/2006/relationships/hyperlink" Target="#September!C9"/><Relationship Id="rId32" Type="http://schemas.openxmlformats.org/officeDocument/2006/relationships/hyperlink" Target="#September!C40"/><Relationship Id="rId37" Type="http://schemas.openxmlformats.org/officeDocument/2006/relationships/hyperlink" Target="#September!C44"/><Relationship Id="rId5" Type="http://schemas.openxmlformats.org/officeDocument/2006/relationships/hyperlink" Target="#September!C7"/><Relationship Id="rId15" Type="http://schemas.openxmlformats.org/officeDocument/2006/relationships/hyperlink" Target="#September!C26"/><Relationship Id="rId23" Type="http://schemas.openxmlformats.org/officeDocument/2006/relationships/hyperlink" Target="#September!C8"/><Relationship Id="rId28" Type="http://schemas.openxmlformats.org/officeDocument/2006/relationships/hyperlink" Target="#September!C36"/><Relationship Id="rId36" Type="http://schemas.openxmlformats.org/officeDocument/2006/relationships/hyperlink" Target="#September!C45"/><Relationship Id="rId10" Type="http://schemas.openxmlformats.org/officeDocument/2006/relationships/hyperlink" Target="#September!C17"/><Relationship Id="rId19" Type="http://schemas.openxmlformats.org/officeDocument/2006/relationships/hyperlink" Target="#September!C32"/><Relationship Id="rId31" Type="http://schemas.openxmlformats.org/officeDocument/2006/relationships/hyperlink" Target="#September!C37"/><Relationship Id="rId4" Type="http://schemas.openxmlformats.org/officeDocument/2006/relationships/hyperlink" Target="#September!C6"/><Relationship Id="rId9" Type="http://schemas.openxmlformats.org/officeDocument/2006/relationships/hyperlink" Target="#September!C13"/><Relationship Id="rId14" Type="http://schemas.openxmlformats.org/officeDocument/2006/relationships/hyperlink" Target="#September!C25"/><Relationship Id="rId22" Type="http://schemas.openxmlformats.org/officeDocument/2006/relationships/hyperlink" Target="#September!C18"/><Relationship Id="rId27" Type="http://schemas.openxmlformats.org/officeDocument/2006/relationships/hyperlink" Target="#September!C22"/><Relationship Id="rId30" Type="http://schemas.openxmlformats.org/officeDocument/2006/relationships/hyperlink" Target="#September!C35"/><Relationship Id="rId35" Type="http://schemas.openxmlformats.org/officeDocument/2006/relationships/hyperlink" Target="#September!C43"/></Relationships>
</file>

<file path=xl/drawings/_rels/drawing12.xml.rels><?xml version="1.0" encoding="UTF-8" standalone="yes"?>
<Relationships xmlns="http://schemas.openxmlformats.org/package/2006/relationships"><Relationship Id="rId8" Type="http://schemas.openxmlformats.org/officeDocument/2006/relationships/hyperlink" Target="#October!C12"/><Relationship Id="rId13" Type="http://schemas.openxmlformats.org/officeDocument/2006/relationships/hyperlink" Target="#October!C24"/><Relationship Id="rId18" Type="http://schemas.openxmlformats.org/officeDocument/2006/relationships/hyperlink" Target="#October!C29"/><Relationship Id="rId26" Type="http://schemas.openxmlformats.org/officeDocument/2006/relationships/hyperlink" Target="#October!C20"/><Relationship Id="rId39" Type="http://schemas.openxmlformats.org/officeDocument/2006/relationships/hyperlink" Target="#October!C47"/><Relationship Id="rId3" Type="http://schemas.openxmlformats.org/officeDocument/2006/relationships/hyperlink" Target="#October!C5"/><Relationship Id="rId21" Type="http://schemas.openxmlformats.org/officeDocument/2006/relationships/hyperlink" Target="#October!C30"/><Relationship Id="rId34" Type="http://schemas.openxmlformats.org/officeDocument/2006/relationships/hyperlink" Target="#October!C42"/><Relationship Id="rId7" Type="http://schemas.openxmlformats.org/officeDocument/2006/relationships/hyperlink" Target="#October!C11"/><Relationship Id="rId12" Type="http://schemas.openxmlformats.org/officeDocument/2006/relationships/hyperlink" Target="#October!C23"/><Relationship Id="rId17" Type="http://schemas.openxmlformats.org/officeDocument/2006/relationships/hyperlink" Target="#October!C28"/><Relationship Id="rId25" Type="http://schemas.openxmlformats.org/officeDocument/2006/relationships/hyperlink" Target="#October!C21"/><Relationship Id="rId33" Type="http://schemas.openxmlformats.org/officeDocument/2006/relationships/hyperlink" Target="#October!C41"/><Relationship Id="rId38" Type="http://schemas.openxmlformats.org/officeDocument/2006/relationships/hyperlink" Target="#October!C46"/><Relationship Id="rId2" Type="http://schemas.openxmlformats.org/officeDocument/2006/relationships/hyperlink" Target="#October!C4"/><Relationship Id="rId16" Type="http://schemas.openxmlformats.org/officeDocument/2006/relationships/hyperlink" Target="#October!C27"/><Relationship Id="rId20" Type="http://schemas.openxmlformats.org/officeDocument/2006/relationships/hyperlink" Target="#October!C15"/><Relationship Id="rId29" Type="http://schemas.openxmlformats.org/officeDocument/2006/relationships/hyperlink" Target="#October!C38"/><Relationship Id="rId1" Type="http://schemas.openxmlformats.org/officeDocument/2006/relationships/image" Target="../media/image13.png"/><Relationship Id="rId6" Type="http://schemas.openxmlformats.org/officeDocument/2006/relationships/hyperlink" Target="#October!C10"/><Relationship Id="rId11" Type="http://schemas.openxmlformats.org/officeDocument/2006/relationships/hyperlink" Target="#October!C19"/><Relationship Id="rId24" Type="http://schemas.openxmlformats.org/officeDocument/2006/relationships/hyperlink" Target="#October!C9"/><Relationship Id="rId32" Type="http://schemas.openxmlformats.org/officeDocument/2006/relationships/hyperlink" Target="#October!C40"/><Relationship Id="rId37" Type="http://schemas.openxmlformats.org/officeDocument/2006/relationships/hyperlink" Target="#October!C44"/><Relationship Id="rId5" Type="http://schemas.openxmlformats.org/officeDocument/2006/relationships/hyperlink" Target="#October!C7"/><Relationship Id="rId15" Type="http://schemas.openxmlformats.org/officeDocument/2006/relationships/hyperlink" Target="#October!C26"/><Relationship Id="rId23" Type="http://schemas.openxmlformats.org/officeDocument/2006/relationships/hyperlink" Target="#October!C8"/><Relationship Id="rId28" Type="http://schemas.openxmlformats.org/officeDocument/2006/relationships/hyperlink" Target="#October!C36"/><Relationship Id="rId36" Type="http://schemas.openxmlformats.org/officeDocument/2006/relationships/hyperlink" Target="#October!C45"/><Relationship Id="rId10" Type="http://schemas.openxmlformats.org/officeDocument/2006/relationships/hyperlink" Target="#October!C17"/><Relationship Id="rId19" Type="http://schemas.openxmlformats.org/officeDocument/2006/relationships/hyperlink" Target="#October!C32"/><Relationship Id="rId31" Type="http://schemas.openxmlformats.org/officeDocument/2006/relationships/hyperlink" Target="#October!C37"/><Relationship Id="rId4" Type="http://schemas.openxmlformats.org/officeDocument/2006/relationships/hyperlink" Target="#October!C6"/><Relationship Id="rId9" Type="http://schemas.openxmlformats.org/officeDocument/2006/relationships/hyperlink" Target="#October!C13"/><Relationship Id="rId14" Type="http://schemas.openxmlformats.org/officeDocument/2006/relationships/hyperlink" Target="#October!C25"/><Relationship Id="rId22" Type="http://schemas.openxmlformats.org/officeDocument/2006/relationships/hyperlink" Target="#October!C18"/><Relationship Id="rId27" Type="http://schemas.openxmlformats.org/officeDocument/2006/relationships/hyperlink" Target="#October!C22"/><Relationship Id="rId30" Type="http://schemas.openxmlformats.org/officeDocument/2006/relationships/hyperlink" Target="#October!C35"/><Relationship Id="rId35" Type="http://schemas.openxmlformats.org/officeDocument/2006/relationships/hyperlink" Target="#October!C43"/></Relationships>
</file>

<file path=xl/drawings/_rels/drawing13.xml.rels><?xml version="1.0" encoding="UTF-8" standalone="yes"?>
<Relationships xmlns="http://schemas.openxmlformats.org/package/2006/relationships"><Relationship Id="rId8" Type="http://schemas.openxmlformats.org/officeDocument/2006/relationships/hyperlink" Target="#November!C12"/><Relationship Id="rId13" Type="http://schemas.openxmlformats.org/officeDocument/2006/relationships/hyperlink" Target="#November!C24"/><Relationship Id="rId18" Type="http://schemas.openxmlformats.org/officeDocument/2006/relationships/hyperlink" Target="#November!C29"/><Relationship Id="rId26" Type="http://schemas.openxmlformats.org/officeDocument/2006/relationships/hyperlink" Target="#November!C20"/><Relationship Id="rId39" Type="http://schemas.openxmlformats.org/officeDocument/2006/relationships/hyperlink" Target="#November!C47"/><Relationship Id="rId3" Type="http://schemas.openxmlformats.org/officeDocument/2006/relationships/hyperlink" Target="#November!C5"/><Relationship Id="rId21" Type="http://schemas.openxmlformats.org/officeDocument/2006/relationships/hyperlink" Target="#November!C30"/><Relationship Id="rId34" Type="http://schemas.openxmlformats.org/officeDocument/2006/relationships/hyperlink" Target="#November!C42"/><Relationship Id="rId7" Type="http://schemas.openxmlformats.org/officeDocument/2006/relationships/hyperlink" Target="#November!C11"/><Relationship Id="rId12" Type="http://schemas.openxmlformats.org/officeDocument/2006/relationships/hyperlink" Target="#November!C23"/><Relationship Id="rId17" Type="http://schemas.openxmlformats.org/officeDocument/2006/relationships/hyperlink" Target="#November!C28"/><Relationship Id="rId25" Type="http://schemas.openxmlformats.org/officeDocument/2006/relationships/hyperlink" Target="#November!C21"/><Relationship Id="rId33" Type="http://schemas.openxmlformats.org/officeDocument/2006/relationships/hyperlink" Target="#November!C41"/><Relationship Id="rId38" Type="http://schemas.openxmlformats.org/officeDocument/2006/relationships/hyperlink" Target="#November!C46"/><Relationship Id="rId2" Type="http://schemas.openxmlformats.org/officeDocument/2006/relationships/hyperlink" Target="#November!C4"/><Relationship Id="rId16" Type="http://schemas.openxmlformats.org/officeDocument/2006/relationships/hyperlink" Target="#November!C27"/><Relationship Id="rId20" Type="http://schemas.openxmlformats.org/officeDocument/2006/relationships/hyperlink" Target="#November!C15"/><Relationship Id="rId29" Type="http://schemas.openxmlformats.org/officeDocument/2006/relationships/hyperlink" Target="#November!C38"/><Relationship Id="rId1" Type="http://schemas.openxmlformats.org/officeDocument/2006/relationships/image" Target="../media/image13.png"/><Relationship Id="rId6" Type="http://schemas.openxmlformats.org/officeDocument/2006/relationships/hyperlink" Target="#November!C10"/><Relationship Id="rId11" Type="http://schemas.openxmlformats.org/officeDocument/2006/relationships/hyperlink" Target="#November!C19"/><Relationship Id="rId24" Type="http://schemas.openxmlformats.org/officeDocument/2006/relationships/hyperlink" Target="#November!C9"/><Relationship Id="rId32" Type="http://schemas.openxmlformats.org/officeDocument/2006/relationships/hyperlink" Target="#November!C40"/><Relationship Id="rId37" Type="http://schemas.openxmlformats.org/officeDocument/2006/relationships/hyperlink" Target="#November!C44"/><Relationship Id="rId5" Type="http://schemas.openxmlformats.org/officeDocument/2006/relationships/hyperlink" Target="#November!C7"/><Relationship Id="rId15" Type="http://schemas.openxmlformats.org/officeDocument/2006/relationships/hyperlink" Target="#November!C26"/><Relationship Id="rId23" Type="http://schemas.openxmlformats.org/officeDocument/2006/relationships/hyperlink" Target="#November!C8"/><Relationship Id="rId28" Type="http://schemas.openxmlformats.org/officeDocument/2006/relationships/hyperlink" Target="#November!C36"/><Relationship Id="rId36" Type="http://schemas.openxmlformats.org/officeDocument/2006/relationships/hyperlink" Target="#November!C45"/><Relationship Id="rId10" Type="http://schemas.openxmlformats.org/officeDocument/2006/relationships/hyperlink" Target="#November!C17"/><Relationship Id="rId19" Type="http://schemas.openxmlformats.org/officeDocument/2006/relationships/hyperlink" Target="#November!C32"/><Relationship Id="rId31" Type="http://schemas.openxmlformats.org/officeDocument/2006/relationships/hyperlink" Target="#November!C37"/><Relationship Id="rId4" Type="http://schemas.openxmlformats.org/officeDocument/2006/relationships/hyperlink" Target="#November!C6"/><Relationship Id="rId9" Type="http://schemas.openxmlformats.org/officeDocument/2006/relationships/hyperlink" Target="#November!C13"/><Relationship Id="rId14" Type="http://schemas.openxmlformats.org/officeDocument/2006/relationships/hyperlink" Target="#November!C25"/><Relationship Id="rId22" Type="http://schemas.openxmlformats.org/officeDocument/2006/relationships/hyperlink" Target="#November!C18"/><Relationship Id="rId27" Type="http://schemas.openxmlformats.org/officeDocument/2006/relationships/hyperlink" Target="#November!C22"/><Relationship Id="rId30" Type="http://schemas.openxmlformats.org/officeDocument/2006/relationships/hyperlink" Target="#November!C35"/><Relationship Id="rId35" Type="http://schemas.openxmlformats.org/officeDocument/2006/relationships/hyperlink" Target="#November!C43"/></Relationships>
</file>

<file path=xl/drawings/_rels/drawing14.xml.rels><?xml version="1.0" encoding="UTF-8" standalone="yes"?>
<Relationships xmlns="http://schemas.openxmlformats.org/package/2006/relationships"><Relationship Id="rId8" Type="http://schemas.openxmlformats.org/officeDocument/2006/relationships/hyperlink" Target="#December!C12"/><Relationship Id="rId13" Type="http://schemas.openxmlformats.org/officeDocument/2006/relationships/hyperlink" Target="#December!C24"/><Relationship Id="rId18" Type="http://schemas.openxmlformats.org/officeDocument/2006/relationships/hyperlink" Target="#December!C29"/><Relationship Id="rId26" Type="http://schemas.openxmlformats.org/officeDocument/2006/relationships/hyperlink" Target="#December!C9"/><Relationship Id="rId39" Type="http://schemas.openxmlformats.org/officeDocument/2006/relationships/hyperlink" Target="#December!C47"/><Relationship Id="rId3" Type="http://schemas.openxmlformats.org/officeDocument/2006/relationships/hyperlink" Target="#December!C5"/><Relationship Id="rId21" Type="http://schemas.openxmlformats.org/officeDocument/2006/relationships/hyperlink" Target="#December!C30"/><Relationship Id="rId34" Type="http://schemas.openxmlformats.org/officeDocument/2006/relationships/hyperlink" Target="#December!C42"/><Relationship Id="rId7" Type="http://schemas.openxmlformats.org/officeDocument/2006/relationships/hyperlink" Target="#December!C11"/><Relationship Id="rId12" Type="http://schemas.openxmlformats.org/officeDocument/2006/relationships/hyperlink" Target="#December!C23"/><Relationship Id="rId17" Type="http://schemas.openxmlformats.org/officeDocument/2006/relationships/hyperlink" Target="#December!C28"/><Relationship Id="rId25" Type="http://schemas.openxmlformats.org/officeDocument/2006/relationships/hyperlink" Target="#December!C8"/><Relationship Id="rId33" Type="http://schemas.openxmlformats.org/officeDocument/2006/relationships/hyperlink" Target="#December!C41"/><Relationship Id="rId38" Type="http://schemas.openxmlformats.org/officeDocument/2006/relationships/hyperlink" Target="#December!C46"/><Relationship Id="rId2" Type="http://schemas.openxmlformats.org/officeDocument/2006/relationships/hyperlink" Target="#December!C4"/><Relationship Id="rId16" Type="http://schemas.openxmlformats.org/officeDocument/2006/relationships/hyperlink" Target="#December!C27"/><Relationship Id="rId20" Type="http://schemas.openxmlformats.org/officeDocument/2006/relationships/hyperlink" Target="#December!C15"/><Relationship Id="rId29" Type="http://schemas.openxmlformats.org/officeDocument/2006/relationships/hyperlink" Target="#December!C22"/><Relationship Id="rId1" Type="http://schemas.openxmlformats.org/officeDocument/2006/relationships/image" Target="../media/image13.png"/><Relationship Id="rId6" Type="http://schemas.openxmlformats.org/officeDocument/2006/relationships/hyperlink" Target="#December!C10"/><Relationship Id="rId11" Type="http://schemas.openxmlformats.org/officeDocument/2006/relationships/hyperlink" Target="#December!C19"/><Relationship Id="rId24" Type="http://schemas.openxmlformats.org/officeDocument/2006/relationships/hyperlink" Target="#December!C18"/><Relationship Id="rId32" Type="http://schemas.openxmlformats.org/officeDocument/2006/relationships/hyperlink" Target="#December!C40"/><Relationship Id="rId37" Type="http://schemas.openxmlformats.org/officeDocument/2006/relationships/hyperlink" Target="#December!C44"/><Relationship Id="rId5" Type="http://schemas.openxmlformats.org/officeDocument/2006/relationships/hyperlink" Target="#December!C7"/><Relationship Id="rId15" Type="http://schemas.openxmlformats.org/officeDocument/2006/relationships/hyperlink" Target="#December!C26"/><Relationship Id="rId23" Type="http://schemas.openxmlformats.org/officeDocument/2006/relationships/hyperlink" Target="#December!C38"/><Relationship Id="rId28" Type="http://schemas.openxmlformats.org/officeDocument/2006/relationships/hyperlink" Target="#December!C20"/><Relationship Id="rId36" Type="http://schemas.openxmlformats.org/officeDocument/2006/relationships/hyperlink" Target="#December!C45"/><Relationship Id="rId10" Type="http://schemas.openxmlformats.org/officeDocument/2006/relationships/hyperlink" Target="#December!C17"/><Relationship Id="rId19" Type="http://schemas.openxmlformats.org/officeDocument/2006/relationships/hyperlink" Target="#December!C32"/><Relationship Id="rId31" Type="http://schemas.openxmlformats.org/officeDocument/2006/relationships/hyperlink" Target="#December!C37"/><Relationship Id="rId4" Type="http://schemas.openxmlformats.org/officeDocument/2006/relationships/hyperlink" Target="#December!C6"/><Relationship Id="rId9" Type="http://schemas.openxmlformats.org/officeDocument/2006/relationships/hyperlink" Target="#December!C13"/><Relationship Id="rId14" Type="http://schemas.openxmlformats.org/officeDocument/2006/relationships/hyperlink" Target="#December!C25"/><Relationship Id="rId22" Type="http://schemas.openxmlformats.org/officeDocument/2006/relationships/hyperlink" Target="#December!C36"/><Relationship Id="rId27" Type="http://schemas.openxmlformats.org/officeDocument/2006/relationships/hyperlink" Target="#December!C21"/><Relationship Id="rId30" Type="http://schemas.openxmlformats.org/officeDocument/2006/relationships/hyperlink" Target="#December!C35"/><Relationship Id="rId35" Type="http://schemas.openxmlformats.org/officeDocument/2006/relationships/hyperlink" Target="#December!C43"/></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 Id="rId4"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 Id="rId4" Type="http://schemas.openxmlformats.org/officeDocument/2006/relationships/image" Target="../media/image2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 Id="rId4" Type="http://schemas.openxmlformats.org/officeDocument/2006/relationships/image" Target="../media/image26.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 Id="rId4" Type="http://schemas.openxmlformats.org/officeDocument/2006/relationships/image" Target="../media/image3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2.emf"/><Relationship Id="rId1" Type="http://schemas.openxmlformats.org/officeDocument/2006/relationships/image" Target="../media/image31.emf"/><Relationship Id="rId4" Type="http://schemas.openxmlformats.org/officeDocument/2006/relationships/image" Target="../media/image34.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 Id="rId4"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0.emf"/><Relationship Id="rId1" Type="http://schemas.openxmlformats.org/officeDocument/2006/relationships/image" Target="../media/image39.emf"/><Relationship Id="rId4" Type="http://schemas.openxmlformats.org/officeDocument/2006/relationships/image" Target="../media/image4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 Id="rId4" Type="http://schemas.openxmlformats.org/officeDocument/2006/relationships/image" Target="../media/image4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48.emf"/><Relationship Id="rId1" Type="http://schemas.openxmlformats.org/officeDocument/2006/relationships/image" Target="../media/image47.emf"/><Relationship Id="rId4" Type="http://schemas.openxmlformats.org/officeDocument/2006/relationships/image" Target="../media/image5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53.emf"/><Relationship Id="rId2" Type="http://schemas.openxmlformats.org/officeDocument/2006/relationships/image" Target="../media/image52.emf"/><Relationship Id="rId1" Type="http://schemas.openxmlformats.org/officeDocument/2006/relationships/image" Target="../media/image51.emf"/><Relationship Id="rId4" Type="http://schemas.openxmlformats.org/officeDocument/2006/relationships/image" Target="../media/image54.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 Id="rId4" Type="http://schemas.openxmlformats.org/officeDocument/2006/relationships/image" Target="../media/image58.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38</xdr:row>
          <xdr:rowOff>180975</xdr:rowOff>
        </xdr:from>
        <xdr:to>
          <xdr:col>7</xdr:col>
          <xdr:colOff>600075</xdr:colOff>
          <xdr:row>40</xdr:row>
          <xdr:rowOff>180975</xdr:rowOff>
        </xdr:to>
        <xdr:sp macro="" textlink="">
          <xdr:nvSpPr>
            <xdr:cNvPr id="3074" name="List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48</xdr:row>
          <xdr:rowOff>38100</xdr:rowOff>
        </xdr:from>
        <xdr:to>
          <xdr:col>4</xdr:col>
          <xdr:colOff>152400</xdr:colOff>
          <xdr:row>49</xdr:row>
          <xdr:rowOff>161925</xdr:rowOff>
        </xdr:to>
        <xdr:sp macro="" textlink="">
          <xdr:nvSpPr>
            <xdr:cNvPr id="3084" name="CommandButton1"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48</xdr:row>
          <xdr:rowOff>38100</xdr:rowOff>
        </xdr:from>
        <xdr:to>
          <xdr:col>5</xdr:col>
          <xdr:colOff>285750</xdr:colOff>
          <xdr:row>49</xdr:row>
          <xdr:rowOff>171450</xdr:rowOff>
        </xdr:to>
        <xdr:sp macro="" textlink="">
          <xdr:nvSpPr>
            <xdr:cNvPr id="3085" name="CommandButton2"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48</xdr:row>
          <xdr:rowOff>38100</xdr:rowOff>
        </xdr:from>
        <xdr:to>
          <xdr:col>6</xdr:col>
          <xdr:colOff>428625</xdr:colOff>
          <xdr:row>49</xdr:row>
          <xdr:rowOff>171450</xdr:rowOff>
        </xdr:to>
        <xdr:sp macro="" textlink="">
          <xdr:nvSpPr>
            <xdr:cNvPr id="3086" name="CommandButton3"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48</xdr:row>
          <xdr:rowOff>38100</xdr:rowOff>
        </xdr:from>
        <xdr:to>
          <xdr:col>7</xdr:col>
          <xdr:colOff>571500</xdr:colOff>
          <xdr:row>49</xdr:row>
          <xdr:rowOff>171450</xdr:rowOff>
        </xdr:to>
        <xdr:sp macro="" textlink="">
          <xdr:nvSpPr>
            <xdr:cNvPr id="3087" name="CommandButton4"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50</xdr:row>
          <xdr:rowOff>19050</xdr:rowOff>
        </xdr:from>
        <xdr:to>
          <xdr:col>4</xdr:col>
          <xdr:colOff>142875</xdr:colOff>
          <xdr:row>51</xdr:row>
          <xdr:rowOff>152400</xdr:rowOff>
        </xdr:to>
        <xdr:sp macro="" textlink="">
          <xdr:nvSpPr>
            <xdr:cNvPr id="3088" name="CommandButton5"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50</xdr:row>
          <xdr:rowOff>19050</xdr:rowOff>
        </xdr:from>
        <xdr:to>
          <xdr:col>5</xdr:col>
          <xdr:colOff>285750</xdr:colOff>
          <xdr:row>51</xdr:row>
          <xdr:rowOff>152400</xdr:rowOff>
        </xdr:to>
        <xdr:sp macro="" textlink="">
          <xdr:nvSpPr>
            <xdr:cNvPr id="3089" name="CommandButton6"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50</xdr:row>
          <xdr:rowOff>19050</xdr:rowOff>
        </xdr:from>
        <xdr:to>
          <xdr:col>6</xdr:col>
          <xdr:colOff>428625</xdr:colOff>
          <xdr:row>51</xdr:row>
          <xdr:rowOff>152400</xdr:rowOff>
        </xdr:to>
        <xdr:sp macro="" textlink="">
          <xdr:nvSpPr>
            <xdr:cNvPr id="3090" name="CommandButton7" hidden="1">
              <a:extLst>
                <a:ext uri="{63B3BB69-23CF-44E3-9099-C40C66FF867C}">
                  <a14:compatExt spid="_x0000_s3090"/>
                </a:ext>
                <a:ext uri="{FF2B5EF4-FFF2-40B4-BE49-F238E27FC236}">
                  <a16:creationId xmlns:a16="http://schemas.microsoft.com/office/drawing/2014/main" id="{00000000-0008-0000-0000-00001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50</xdr:row>
          <xdr:rowOff>19050</xdr:rowOff>
        </xdr:from>
        <xdr:to>
          <xdr:col>7</xdr:col>
          <xdr:colOff>571500</xdr:colOff>
          <xdr:row>51</xdr:row>
          <xdr:rowOff>152400</xdr:rowOff>
        </xdr:to>
        <xdr:sp macro="" textlink="">
          <xdr:nvSpPr>
            <xdr:cNvPr id="3091" name="CommandButton8" hidden="1">
              <a:extLst>
                <a:ext uri="{63B3BB69-23CF-44E3-9099-C40C66FF867C}">
                  <a14:compatExt spid="_x0000_s3091"/>
                </a:ext>
                <a:ext uri="{FF2B5EF4-FFF2-40B4-BE49-F238E27FC236}">
                  <a16:creationId xmlns:a16="http://schemas.microsoft.com/office/drawing/2014/main" id="{00000000-0008-0000-00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52</xdr:row>
          <xdr:rowOff>0</xdr:rowOff>
        </xdr:from>
        <xdr:to>
          <xdr:col>4</xdr:col>
          <xdr:colOff>142875</xdr:colOff>
          <xdr:row>53</xdr:row>
          <xdr:rowOff>133350</xdr:rowOff>
        </xdr:to>
        <xdr:sp macro="" textlink="">
          <xdr:nvSpPr>
            <xdr:cNvPr id="3092" name="CommandButton9" hidden="1">
              <a:extLst>
                <a:ext uri="{63B3BB69-23CF-44E3-9099-C40C66FF867C}">
                  <a14:compatExt spid="_x0000_s3092"/>
                </a:ext>
                <a:ext uri="{FF2B5EF4-FFF2-40B4-BE49-F238E27FC236}">
                  <a16:creationId xmlns:a16="http://schemas.microsoft.com/office/drawing/2014/main" id="{00000000-0008-0000-00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52</xdr:row>
          <xdr:rowOff>0</xdr:rowOff>
        </xdr:from>
        <xdr:to>
          <xdr:col>7</xdr:col>
          <xdr:colOff>571500</xdr:colOff>
          <xdr:row>53</xdr:row>
          <xdr:rowOff>133350</xdr:rowOff>
        </xdr:to>
        <xdr:sp macro="" textlink="">
          <xdr:nvSpPr>
            <xdr:cNvPr id="3093" name="CommandButton10" hidden="1">
              <a:extLst>
                <a:ext uri="{63B3BB69-23CF-44E3-9099-C40C66FF867C}">
                  <a14:compatExt spid="_x0000_s3093"/>
                </a:ext>
                <a:ext uri="{FF2B5EF4-FFF2-40B4-BE49-F238E27FC236}">
                  <a16:creationId xmlns:a16="http://schemas.microsoft.com/office/drawing/2014/main" id="{00000000-0008-0000-0000-00001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52</xdr:row>
          <xdr:rowOff>0</xdr:rowOff>
        </xdr:from>
        <xdr:to>
          <xdr:col>6</xdr:col>
          <xdr:colOff>428625</xdr:colOff>
          <xdr:row>53</xdr:row>
          <xdr:rowOff>133350</xdr:rowOff>
        </xdr:to>
        <xdr:sp macro="" textlink="">
          <xdr:nvSpPr>
            <xdr:cNvPr id="3094" name="CommandButton11"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52</xdr:row>
          <xdr:rowOff>0</xdr:rowOff>
        </xdr:from>
        <xdr:to>
          <xdr:col>5</xdr:col>
          <xdr:colOff>285750</xdr:colOff>
          <xdr:row>53</xdr:row>
          <xdr:rowOff>133350</xdr:rowOff>
        </xdr:to>
        <xdr:sp macro="" textlink="">
          <xdr:nvSpPr>
            <xdr:cNvPr id="3095" name="CommandButton12"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180975</xdr:rowOff>
        </xdr:from>
        <xdr:to>
          <xdr:col>7</xdr:col>
          <xdr:colOff>600075</xdr:colOff>
          <xdr:row>40</xdr:row>
          <xdr:rowOff>180975</xdr:rowOff>
        </xdr:to>
        <xdr:sp macro="" textlink="">
          <xdr:nvSpPr>
            <xdr:cNvPr id="3096" name="List Box 24"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304800</xdr:colOff>
      <xdr:row>0</xdr:row>
      <xdr:rowOff>63500</xdr:rowOff>
    </xdr:from>
    <xdr:to>
      <xdr:col>15</xdr:col>
      <xdr:colOff>539115</xdr:colOff>
      <xdr:row>0</xdr:row>
      <xdr:rowOff>309880</xdr:rowOff>
    </xdr:to>
    <xdr:pic>
      <xdr:nvPicPr>
        <xdr:cNvPr id="17" name="Picture 16">
          <a:extLst>
            <a:ext uri="{FF2B5EF4-FFF2-40B4-BE49-F238E27FC236}">
              <a16:creationId xmlns:a16="http://schemas.microsoft.com/office/drawing/2014/main" id="{00000000-0008-0000-0000-000011000000}"/>
            </a:ext>
          </a:extLst>
        </xdr:cNvPr>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1420475" y="63500"/>
          <a:ext cx="1720215" cy="2463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266701</xdr:colOff>
      <xdr:row>0</xdr:row>
      <xdr:rowOff>74957</xdr:rowOff>
    </xdr:from>
    <xdr:to>
      <xdr:col>3</xdr:col>
      <xdr:colOff>1289795</xdr:colOff>
      <xdr:row>0</xdr:row>
      <xdr:rowOff>247650</xdr:rowOff>
    </xdr:to>
    <xdr:pic>
      <xdr:nvPicPr>
        <xdr:cNvPr id="35" name="Picture 34">
          <a:extLst>
            <a:ext uri="{FF2B5EF4-FFF2-40B4-BE49-F238E27FC236}">
              <a16:creationId xmlns:a16="http://schemas.microsoft.com/office/drawing/2014/main" id="{00000000-0008-0000-0100-000023000000}"/>
            </a:ext>
          </a:extLst>
        </xdr:cNvPr>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8048626" y="74957"/>
          <a:ext cx="1023094" cy="1726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266700</xdr:colOff>
          <xdr:row>1</xdr:row>
          <xdr:rowOff>95250</xdr:rowOff>
        </xdr:from>
        <xdr:to>
          <xdr:col>2</xdr:col>
          <xdr:colOff>895350</xdr:colOff>
          <xdr:row>1</xdr:row>
          <xdr:rowOff>666750</xdr:rowOff>
        </xdr:to>
        <xdr:sp macro="" textlink="">
          <xdr:nvSpPr>
            <xdr:cNvPr id="1032" name="CommandButton1"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xdr:row>
          <xdr:rowOff>95250</xdr:rowOff>
        </xdr:from>
        <xdr:to>
          <xdr:col>2</xdr:col>
          <xdr:colOff>885825</xdr:colOff>
          <xdr:row>2</xdr:row>
          <xdr:rowOff>657225</xdr:rowOff>
        </xdr:to>
        <xdr:sp macro="" textlink="">
          <xdr:nvSpPr>
            <xdr:cNvPr id="1036" name="CommandButton2" hidden="1">
              <a:extLst>
                <a:ext uri="{63B3BB69-23CF-44E3-9099-C40C66FF867C}">
                  <a14:compatExt spid="_x0000_s1036"/>
                </a:ext>
                <a:ext uri="{FF2B5EF4-FFF2-40B4-BE49-F238E27FC236}">
                  <a16:creationId xmlns:a16="http://schemas.microsoft.com/office/drawing/2014/main" id="{00000000-0008-0000-02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14</xdr:row>
          <xdr:rowOff>123825</xdr:rowOff>
        </xdr:from>
        <xdr:to>
          <xdr:col>2</xdr:col>
          <xdr:colOff>857250</xdr:colOff>
          <xdr:row>14</xdr:row>
          <xdr:rowOff>685800</xdr:rowOff>
        </xdr:to>
        <xdr:sp macro="" textlink="">
          <xdr:nvSpPr>
            <xdr:cNvPr id="1038" name="CommandButton3"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15</xdr:row>
          <xdr:rowOff>95250</xdr:rowOff>
        </xdr:from>
        <xdr:to>
          <xdr:col>2</xdr:col>
          <xdr:colOff>857250</xdr:colOff>
          <xdr:row>15</xdr:row>
          <xdr:rowOff>647700</xdr:rowOff>
        </xdr:to>
        <xdr:sp macro="" textlink="">
          <xdr:nvSpPr>
            <xdr:cNvPr id="1039" name="CommandButton4"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503997</xdr:colOff>
      <xdr:row>0</xdr:row>
      <xdr:rowOff>55907</xdr:rowOff>
    </xdr:from>
    <xdr:to>
      <xdr:col>9</xdr:col>
      <xdr:colOff>679367</xdr:colOff>
      <xdr:row>0</xdr:row>
      <xdr:rowOff>302287</xdr:rowOff>
    </xdr:to>
    <xdr:pic>
      <xdr:nvPicPr>
        <xdr:cNvPr id="9" name="Picture 8">
          <a:extLst>
            <a:ext uri="{FF2B5EF4-FFF2-40B4-BE49-F238E27FC236}">
              <a16:creationId xmlns:a16="http://schemas.microsoft.com/office/drawing/2014/main" id="{00000000-0008-0000-0200-000009000000}"/>
            </a:ext>
          </a:extLst>
        </xdr:cNvPr>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9929606" y="55907"/>
          <a:ext cx="1715936" cy="246380"/>
        </a:xfrm>
        <a:prstGeom prst="rect">
          <a:avLst/>
        </a:prstGeom>
      </xdr:spPr>
    </xdr:pic>
    <xdr:clientData/>
  </xdr:twoCellAnchor>
  <xdr:twoCellAnchor>
    <xdr:from>
      <xdr:col>3</xdr:col>
      <xdr:colOff>19050</xdr:colOff>
      <xdr:row>3</xdr:row>
      <xdr:rowOff>628650</xdr:rowOff>
    </xdr:from>
    <xdr:to>
      <xdr:col>3</xdr:col>
      <xdr:colOff>161925</xdr:colOff>
      <xdr:row>3</xdr:row>
      <xdr:rowOff>781050</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200-000002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4</xdr:row>
      <xdr:rowOff>628650</xdr:rowOff>
    </xdr:from>
    <xdr:to>
      <xdr:col>3</xdr:col>
      <xdr:colOff>161925</xdr:colOff>
      <xdr:row>4</xdr:row>
      <xdr:rowOff>781050</xdr:rowOff>
    </xdr:to>
    <xdr:sp macro="" textlink="">
      <xdr:nvSpPr>
        <xdr:cNvPr id="10" name="TextBox 9">
          <a:hlinkClick xmlns:r="http://schemas.openxmlformats.org/officeDocument/2006/relationships" r:id="rId3"/>
          <a:extLst>
            <a:ext uri="{FF2B5EF4-FFF2-40B4-BE49-F238E27FC236}">
              <a16:creationId xmlns:a16="http://schemas.microsoft.com/office/drawing/2014/main" id="{00000000-0008-0000-0200-00000A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5</xdr:row>
      <xdr:rowOff>628650</xdr:rowOff>
    </xdr:from>
    <xdr:to>
      <xdr:col>3</xdr:col>
      <xdr:colOff>161925</xdr:colOff>
      <xdr:row>5</xdr:row>
      <xdr:rowOff>781050</xdr:rowOff>
    </xdr:to>
    <xdr:sp macro="" textlink="">
      <xdr:nvSpPr>
        <xdr:cNvPr id="11" name="TextBox 10">
          <a:hlinkClick xmlns:r="http://schemas.openxmlformats.org/officeDocument/2006/relationships" r:id="rId4"/>
          <a:extLst>
            <a:ext uri="{FF2B5EF4-FFF2-40B4-BE49-F238E27FC236}">
              <a16:creationId xmlns:a16="http://schemas.microsoft.com/office/drawing/2014/main" id="{00000000-0008-0000-0200-00000B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6</xdr:row>
      <xdr:rowOff>628650</xdr:rowOff>
    </xdr:from>
    <xdr:to>
      <xdr:col>3</xdr:col>
      <xdr:colOff>161925</xdr:colOff>
      <xdr:row>6</xdr:row>
      <xdr:rowOff>781050</xdr:rowOff>
    </xdr:to>
    <xdr:sp macro="" textlink="">
      <xdr:nvSpPr>
        <xdr:cNvPr id="12" name="TextBox 11">
          <a:hlinkClick xmlns:r="http://schemas.openxmlformats.org/officeDocument/2006/relationships" r:id="rId5"/>
          <a:extLst>
            <a:ext uri="{FF2B5EF4-FFF2-40B4-BE49-F238E27FC236}">
              <a16:creationId xmlns:a16="http://schemas.microsoft.com/office/drawing/2014/main" id="{00000000-0008-0000-0200-00000C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9</xdr:row>
      <xdr:rowOff>628650</xdr:rowOff>
    </xdr:from>
    <xdr:to>
      <xdr:col>3</xdr:col>
      <xdr:colOff>161925</xdr:colOff>
      <xdr:row>9</xdr:row>
      <xdr:rowOff>781050</xdr:rowOff>
    </xdr:to>
    <xdr:sp macro="" textlink="">
      <xdr:nvSpPr>
        <xdr:cNvPr id="13" name="TextBox 12">
          <a:hlinkClick xmlns:r="http://schemas.openxmlformats.org/officeDocument/2006/relationships" r:id="rId6"/>
          <a:extLst>
            <a:ext uri="{FF2B5EF4-FFF2-40B4-BE49-F238E27FC236}">
              <a16:creationId xmlns:a16="http://schemas.microsoft.com/office/drawing/2014/main" id="{00000000-0008-0000-0200-00000D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10</xdr:row>
      <xdr:rowOff>628650</xdr:rowOff>
    </xdr:from>
    <xdr:to>
      <xdr:col>3</xdr:col>
      <xdr:colOff>161925</xdr:colOff>
      <xdr:row>10</xdr:row>
      <xdr:rowOff>781050</xdr:rowOff>
    </xdr:to>
    <xdr:sp macro="" textlink="">
      <xdr:nvSpPr>
        <xdr:cNvPr id="14" name="TextBox 13">
          <a:hlinkClick xmlns:r="http://schemas.openxmlformats.org/officeDocument/2006/relationships" r:id="rId7"/>
          <a:extLst>
            <a:ext uri="{FF2B5EF4-FFF2-40B4-BE49-F238E27FC236}">
              <a16:creationId xmlns:a16="http://schemas.microsoft.com/office/drawing/2014/main" id="{00000000-0008-0000-0200-00000E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11</xdr:row>
      <xdr:rowOff>628650</xdr:rowOff>
    </xdr:from>
    <xdr:to>
      <xdr:col>3</xdr:col>
      <xdr:colOff>161925</xdr:colOff>
      <xdr:row>11</xdr:row>
      <xdr:rowOff>781050</xdr:rowOff>
    </xdr:to>
    <xdr:sp macro="" textlink="">
      <xdr:nvSpPr>
        <xdr:cNvPr id="15" name="TextBox 14">
          <a:hlinkClick xmlns:r="http://schemas.openxmlformats.org/officeDocument/2006/relationships" r:id="rId8"/>
          <a:extLst>
            <a:ext uri="{FF2B5EF4-FFF2-40B4-BE49-F238E27FC236}">
              <a16:creationId xmlns:a16="http://schemas.microsoft.com/office/drawing/2014/main" id="{00000000-0008-0000-0200-00000F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12</xdr:row>
      <xdr:rowOff>628650</xdr:rowOff>
    </xdr:from>
    <xdr:to>
      <xdr:col>3</xdr:col>
      <xdr:colOff>161925</xdr:colOff>
      <xdr:row>12</xdr:row>
      <xdr:rowOff>781050</xdr:rowOff>
    </xdr:to>
    <xdr:sp macro="" textlink="">
      <xdr:nvSpPr>
        <xdr:cNvPr id="16" name="TextBox 15">
          <a:hlinkClick xmlns:r="http://schemas.openxmlformats.org/officeDocument/2006/relationships" r:id="rId9"/>
          <a:extLst>
            <a:ext uri="{FF2B5EF4-FFF2-40B4-BE49-F238E27FC236}">
              <a16:creationId xmlns:a16="http://schemas.microsoft.com/office/drawing/2014/main" id="{00000000-0008-0000-0200-000010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17" name="TextBox 16">
          <a:hlinkClick xmlns:r="http://schemas.openxmlformats.org/officeDocument/2006/relationships" r:id="rId10"/>
          <a:extLst>
            <a:ext uri="{FF2B5EF4-FFF2-40B4-BE49-F238E27FC236}">
              <a16:creationId xmlns:a16="http://schemas.microsoft.com/office/drawing/2014/main" id="{00000000-0008-0000-0200-000011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18" name="TextBox 17">
          <a:hlinkClick xmlns:r="http://schemas.openxmlformats.org/officeDocument/2006/relationships" r:id="rId11"/>
          <a:extLst>
            <a:ext uri="{FF2B5EF4-FFF2-40B4-BE49-F238E27FC236}">
              <a16:creationId xmlns:a16="http://schemas.microsoft.com/office/drawing/2014/main" id="{00000000-0008-0000-0200-000012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22</xdr:row>
      <xdr:rowOff>628650</xdr:rowOff>
    </xdr:from>
    <xdr:to>
      <xdr:col>3</xdr:col>
      <xdr:colOff>161925</xdr:colOff>
      <xdr:row>22</xdr:row>
      <xdr:rowOff>781050</xdr:rowOff>
    </xdr:to>
    <xdr:sp macro="" textlink="">
      <xdr:nvSpPr>
        <xdr:cNvPr id="19" name="TextBox 18">
          <a:hlinkClick xmlns:r="http://schemas.openxmlformats.org/officeDocument/2006/relationships" r:id="rId12"/>
          <a:extLst>
            <a:ext uri="{FF2B5EF4-FFF2-40B4-BE49-F238E27FC236}">
              <a16:creationId xmlns:a16="http://schemas.microsoft.com/office/drawing/2014/main" id="{00000000-0008-0000-0200-000013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23</xdr:row>
      <xdr:rowOff>628650</xdr:rowOff>
    </xdr:from>
    <xdr:to>
      <xdr:col>3</xdr:col>
      <xdr:colOff>161925</xdr:colOff>
      <xdr:row>23</xdr:row>
      <xdr:rowOff>781050</xdr:rowOff>
    </xdr:to>
    <xdr:sp macro="" textlink="">
      <xdr:nvSpPr>
        <xdr:cNvPr id="20" name="TextBox 19">
          <a:hlinkClick xmlns:r="http://schemas.openxmlformats.org/officeDocument/2006/relationships" r:id="rId13"/>
          <a:extLst>
            <a:ext uri="{FF2B5EF4-FFF2-40B4-BE49-F238E27FC236}">
              <a16:creationId xmlns:a16="http://schemas.microsoft.com/office/drawing/2014/main" id="{00000000-0008-0000-0200-000014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24</xdr:row>
      <xdr:rowOff>628650</xdr:rowOff>
    </xdr:from>
    <xdr:to>
      <xdr:col>3</xdr:col>
      <xdr:colOff>161925</xdr:colOff>
      <xdr:row>24</xdr:row>
      <xdr:rowOff>781050</xdr:rowOff>
    </xdr:to>
    <xdr:sp macro="" textlink="">
      <xdr:nvSpPr>
        <xdr:cNvPr id="21" name="TextBox 20">
          <a:hlinkClick xmlns:r="http://schemas.openxmlformats.org/officeDocument/2006/relationships" r:id="rId14"/>
          <a:extLst>
            <a:ext uri="{FF2B5EF4-FFF2-40B4-BE49-F238E27FC236}">
              <a16:creationId xmlns:a16="http://schemas.microsoft.com/office/drawing/2014/main" id="{00000000-0008-0000-0200-000015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25</xdr:row>
      <xdr:rowOff>628650</xdr:rowOff>
    </xdr:from>
    <xdr:to>
      <xdr:col>3</xdr:col>
      <xdr:colOff>161925</xdr:colOff>
      <xdr:row>25</xdr:row>
      <xdr:rowOff>781050</xdr:rowOff>
    </xdr:to>
    <xdr:sp macro="" textlink="">
      <xdr:nvSpPr>
        <xdr:cNvPr id="22" name="TextBox 21">
          <a:hlinkClick xmlns:r="http://schemas.openxmlformats.org/officeDocument/2006/relationships" r:id="rId15"/>
          <a:extLst>
            <a:ext uri="{FF2B5EF4-FFF2-40B4-BE49-F238E27FC236}">
              <a16:creationId xmlns:a16="http://schemas.microsoft.com/office/drawing/2014/main" id="{00000000-0008-0000-0200-000016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26</xdr:row>
      <xdr:rowOff>628650</xdr:rowOff>
    </xdr:from>
    <xdr:to>
      <xdr:col>3</xdr:col>
      <xdr:colOff>161925</xdr:colOff>
      <xdr:row>26</xdr:row>
      <xdr:rowOff>781050</xdr:rowOff>
    </xdr:to>
    <xdr:sp macro="" textlink="">
      <xdr:nvSpPr>
        <xdr:cNvPr id="23" name="TextBox 22">
          <a:hlinkClick xmlns:r="http://schemas.openxmlformats.org/officeDocument/2006/relationships" r:id="rId16"/>
          <a:extLst>
            <a:ext uri="{FF2B5EF4-FFF2-40B4-BE49-F238E27FC236}">
              <a16:creationId xmlns:a16="http://schemas.microsoft.com/office/drawing/2014/main" id="{00000000-0008-0000-0200-000017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27</xdr:row>
      <xdr:rowOff>628650</xdr:rowOff>
    </xdr:from>
    <xdr:to>
      <xdr:col>3</xdr:col>
      <xdr:colOff>161925</xdr:colOff>
      <xdr:row>27</xdr:row>
      <xdr:rowOff>781050</xdr:rowOff>
    </xdr:to>
    <xdr:sp macro="" textlink="">
      <xdr:nvSpPr>
        <xdr:cNvPr id="24" name="TextBox 23">
          <a:hlinkClick xmlns:r="http://schemas.openxmlformats.org/officeDocument/2006/relationships" r:id="rId17"/>
          <a:extLst>
            <a:ext uri="{FF2B5EF4-FFF2-40B4-BE49-F238E27FC236}">
              <a16:creationId xmlns:a16="http://schemas.microsoft.com/office/drawing/2014/main" id="{00000000-0008-0000-0200-000018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28</xdr:row>
      <xdr:rowOff>628650</xdr:rowOff>
    </xdr:from>
    <xdr:to>
      <xdr:col>3</xdr:col>
      <xdr:colOff>161925</xdr:colOff>
      <xdr:row>28</xdr:row>
      <xdr:rowOff>781050</xdr:rowOff>
    </xdr:to>
    <xdr:sp macro="" textlink="">
      <xdr:nvSpPr>
        <xdr:cNvPr id="25" name="TextBox 24">
          <a:hlinkClick xmlns:r="http://schemas.openxmlformats.org/officeDocument/2006/relationships" r:id="rId18"/>
          <a:extLst>
            <a:ext uri="{FF2B5EF4-FFF2-40B4-BE49-F238E27FC236}">
              <a16:creationId xmlns:a16="http://schemas.microsoft.com/office/drawing/2014/main" id="{00000000-0008-0000-0200-000019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31</xdr:row>
      <xdr:rowOff>628650</xdr:rowOff>
    </xdr:from>
    <xdr:to>
      <xdr:col>3</xdr:col>
      <xdr:colOff>161925</xdr:colOff>
      <xdr:row>31</xdr:row>
      <xdr:rowOff>781050</xdr:rowOff>
    </xdr:to>
    <xdr:sp macro="" textlink="">
      <xdr:nvSpPr>
        <xdr:cNvPr id="26" name="TextBox 25">
          <a:hlinkClick xmlns:r="http://schemas.openxmlformats.org/officeDocument/2006/relationships" r:id="rId19"/>
          <a:extLst>
            <a:ext uri="{FF2B5EF4-FFF2-40B4-BE49-F238E27FC236}">
              <a16:creationId xmlns:a16="http://schemas.microsoft.com/office/drawing/2014/main" id="{00000000-0008-0000-0200-00001A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35" name="TextBox 34">
          <a:hlinkClick xmlns:r="http://schemas.openxmlformats.org/officeDocument/2006/relationships" r:id="rId20"/>
          <a:extLst>
            <a:ext uri="{FF2B5EF4-FFF2-40B4-BE49-F238E27FC236}">
              <a16:creationId xmlns:a16="http://schemas.microsoft.com/office/drawing/2014/main" id="{00000000-0008-0000-0200-000023000000}"/>
            </a:ext>
          </a:extLst>
        </xdr:cNvPr>
        <xdr:cNvSpPr txBox="1"/>
      </xdr:nvSpPr>
      <xdr:spPr>
        <a:xfrm>
          <a:off x="3543302" y="113823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29</xdr:row>
      <xdr:rowOff>628650</xdr:rowOff>
    </xdr:from>
    <xdr:to>
      <xdr:col>3</xdr:col>
      <xdr:colOff>161926</xdr:colOff>
      <xdr:row>29</xdr:row>
      <xdr:rowOff>781050</xdr:rowOff>
    </xdr:to>
    <xdr:sp macro="" textlink="">
      <xdr:nvSpPr>
        <xdr:cNvPr id="37" name="TextBox 36">
          <a:hlinkClick xmlns:r="http://schemas.openxmlformats.org/officeDocument/2006/relationships" r:id="rId21"/>
          <a:extLst>
            <a:ext uri="{FF2B5EF4-FFF2-40B4-BE49-F238E27FC236}">
              <a16:creationId xmlns:a16="http://schemas.microsoft.com/office/drawing/2014/main" id="{00000000-0008-0000-0200-000025000000}"/>
            </a:ext>
          </a:extLst>
        </xdr:cNvPr>
        <xdr:cNvSpPr txBox="1"/>
      </xdr:nvSpPr>
      <xdr:spPr>
        <a:xfrm>
          <a:off x="3543302" y="113823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51" name="TextBox 50">
          <a:hlinkClick xmlns:r="http://schemas.openxmlformats.org/officeDocument/2006/relationships" r:id="rId22"/>
          <a:extLst>
            <a:ext uri="{FF2B5EF4-FFF2-40B4-BE49-F238E27FC236}">
              <a16:creationId xmlns:a16="http://schemas.microsoft.com/office/drawing/2014/main" id="{00000000-0008-0000-0200-000033000000}"/>
            </a:ext>
          </a:extLst>
        </xdr:cNvPr>
        <xdr:cNvSpPr txBox="1"/>
      </xdr:nvSpPr>
      <xdr:spPr>
        <a:xfrm>
          <a:off x="3543300" y="12982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7</xdr:row>
      <xdr:rowOff>628650</xdr:rowOff>
    </xdr:from>
    <xdr:to>
      <xdr:col>3</xdr:col>
      <xdr:colOff>161925</xdr:colOff>
      <xdr:row>7</xdr:row>
      <xdr:rowOff>781050</xdr:rowOff>
    </xdr:to>
    <xdr:sp macro="" textlink="">
      <xdr:nvSpPr>
        <xdr:cNvPr id="38" name="TextBox 37">
          <a:hlinkClick xmlns:r="http://schemas.openxmlformats.org/officeDocument/2006/relationships" r:id="rId23"/>
          <a:extLst>
            <a:ext uri="{FF2B5EF4-FFF2-40B4-BE49-F238E27FC236}">
              <a16:creationId xmlns:a16="http://schemas.microsoft.com/office/drawing/2014/main" id="{00000000-0008-0000-0200-000026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8</xdr:row>
      <xdr:rowOff>628650</xdr:rowOff>
    </xdr:from>
    <xdr:to>
      <xdr:col>3</xdr:col>
      <xdr:colOff>161925</xdr:colOff>
      <xdr:row>8</xdr:row>
      <xdr:rowOff>781050</xdr:rowOff>
    </xdr:to>
    <xdr:sp macro="" textlink="">
      <xdr:nvSpPr>
        <xdr:cNvPr id="39" name="TextBox 38">
          <a:hlinkClick xmlns:r="http://schemas.openxmlformats.org/officeDocument/2006/relationships" r:id="rId24"/>
          <a:extLst>
            <a:ext uri="{FF2B5EF4-FFF2-40B4-BE49-F238E27FC236}">
              <a16:creationId xmlns:a16="http://schemas.microsoft.com/office/drawing/2014/main" id="{00000000-0008-0000-0200-000027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21</xdr:row>
      <xdr:rowOff>628650</xdr:rowOff>
    </xdr:from>
    <xdr:to>
      <xdr:col>3</xdr:col>
      <xdr:colOff>161925</xdr:colOff>
      <xdr:row>21</xdr:row>
      <xdr:rowOff>781050</xdr:rowOff>
    </xdr:to>
    <xdr:sp macro="" textlink="">
      <xdr:nvSpPr>
        <xdr:cNvPr id="40" name="TextBox 39">
          <a:hlinkClick xmlns:r="http://schemas.openxmlformats.org/officeDocument/2006/relationships" r:id="rId25"/>
          <a:extLst>
            <a:ext uri="{FF2B5EF4-FFF2-40B4-BE49-F238E27FC236}">
              <a16:creationId xmlns:a16="http://schemas.microsoft.com/office/drawing/2014/main" id="{00000000-0008-0000-0200-000028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35</xdr:row>
      <xdr:rowOff>790575</xdr:rowOff>
    </xdr:from>
    <xdr:to>
      <xdr:col>3</xdr:col>
      <xdr:colOff>161926</xdr:colOff>
      <xdr:row>35</xdr:row>
      <xdr:rowOff>942975</xdr:rowOff>
    </xdr:to>
    <xdr:sp macro="" textlink="">
      <xdr:nvSpPr>
        <xdr:cNvPr id="52" name="TextBox 51">
          <a:hlinkClick xmlns:r="http://schemas.openxmlformats.org/officeDocument/2006/relationships" r:id="rId26"/>
          <a:extLst>
            <a:ext uri="{FF2B5EF4-FFF2-40B4-BE49-F238E27FC236}">
              <a16:creationId xmlns:a16="http://schemas.microsoft.com/office/drawing/2014/main" id="{00000000-0008-0000-0200-000034000000}"/>
            </a:ext>
          </a:extLst>
        </xdr:cNvPr>
        <xdr:cNvSpPr txBox="1"/>
      </xdr:nvSpPr>
      <xdr:spPr>
        <a:xfrm>
          <a:off x="3543302" y="61055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37</xdr:row>
      <xdr:rowOff>790577</xdr:rowOff>
    </xdr:from>
    <xdr:to>
      <xdr:col>3</xdr:col>
      <xdr:colOff>161925</xdr:colOff>
      <xdr:row>37</xdr:row>
      <xdr:rowOff>942975</xdr:rowOff>
    </xdr:to>
    <xdr:sp macro="" textlink="">
      <xdr:nvSpPr>
        <xdr:cNvPr id="53" name="TextBox 52">
          <a:hlinkClick xmlns:r="http://schemas.openxmlformats.org/officeDocument/2006/relationships" r:id="rId27"/>
          <a:extLst>
            <a:ext uri="{FF2B5EF4-FFF2-40B4-BE49-F238E27FC236}">
              <a16:creationId xmlns:a16="http://schemas.microsoft.com/office/drawing/2014/main" id="{00000000-0008-0000-0200-000035000000}"/>
            </a:ext>
          </a:extLst>
        </xdr:cNvPr>
        <xdr:cNvSpPr txBox="1"/>
      </xdr:nvSpPr>
      <xdr:spPr>
        <a:xfrm>
          <a:off x="3533775" y="8029577"/>
          <a:ext cx="152400" cy="15239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34</xdr:row>
      <xdr:rowOff>790575</xdr:rowOff>
    </xdr:from>
    <xdr:to>
      <xdr:col>3</xdr:col>
      <xdr:colOff>152401</xdr:colOff>
      <xdr:row>34</xdr:row>
      <xdr:rowOff>942975</xdr:rowOff>
    </xdr:to>
    <xdr:sp macro="" textlink="">
      <xdr:nvSpPr>
        <xdr:cNvPr id="54" name="TextBox 53">
          <a:hlinkClick xmlns:r="http://schemas.openxmlformats.org/officeDocument/2006/relationships" r:id="rId28"/>
          <a:extLst>
            <a:ext uri="{FF2B5EF4-FFF2-40B4-BE49-F238E27FC236}">
              <a16:creationId xmlns:a16="http://schemas.microsoft.com/office/drawing/2014/main" id="{00000000-0008-0000-0200-000036000000}"/>
            </a:ext>
          </a:extLst>
        </xdr:cNvPr>
        <xdr:cNvSpPr txBox="1"/>
      </xdr:nvSpPr>
      <xdr:spPr>
        <a:xfrm>
          <a:off x="3533777" y="51435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36</xdr:row>
      <xdr:rowOff>790575</xdr:rowOff>
    </xdr:from>
    <xdr:to>
      <xdr:col>3</xdr:col>
      <xdr:colOff>161926</xdr:colOff>
      <xdr:row>36</xdr:row>
      <xdr:rowOff>942975</xdr:rowOff>
    </xdr:to>
    <xdr:sp macro="" textlink="">
      <xdr:nvSpPr>
        <xdr:cNvPr id="55" name="TextBox 54">
          <a:hlinkClick xmlns:r="http://schemas.openxmlformats.org/officeDocument/2006/relationships" r:id="rId29"/>
          <a:extLst>
            <a:ext uri="{FF2B5EF4-FFF2-40B4-BE49-F238E27FC236}">
              <a16:creationId xmlns:a16="http://schemas.microsoft.com/office/drawing/2014/main" id="{00000000-0008-0000-0200-000037000000}"/>
            </a:ext>
          </a:extLst>
        </xdr:cNvPr>
        <xdr:cNvSpPr txBox="1"/>
      </xdr:nvSpPr>
      <xdr:spPr>
        <a:xfrm>
          <a:off x="3543302" y="70675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39</xdr:row>
      <xdr:rowOff>790575</xdr:rowOff>
    </xdr:from>
    <xdr:to>
      <xdr:col>3</xdr:col>
      <xdr:colOff>152401</xdr:colOff>
      <xdr:row>39</xdr:row>
      <xdr:rowOff>942975</xdr:rowOff>
    </xdr:to>
    <xdr:sp macro="" textlink="">
      <xdr:nvSpPr>
        <xdr:cNvPr id="56" name="TextBox 55">
          <a:hlinkClick xmlns:r="http://schemas.openxmlformats.org/officeDocument/2006/relationships" r:id="rId30"/>
          <a:extLst>
            <a:ext uri="{FF2B5EF4-FFF2-40B4-BE49-F238E27FC236}">
              <a16:creationId xmlns:a16="http://schemas.microsoft.com/office/drawing/2014/main" id="{00000000-0008-0000-0200-000038000000}"/>
            </a:ext>
          </a:extLst>
        </xdr:cNvPr>
        <xdr:cNvSpPr txBox="1"/>
      </xdr:nvSpPr>
      <xdr:spPr>
        <a:xfrm>
          <a:off x="3533777" y="99536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40</xdr:row>
      <xdr:rowOff>790575</xdr:rowOff>
    </xdr:from>
    <xdr:to>
      <xdr:col>3</xdr:col>
      <xdr:colOff>161926</xdr:colOff>
      <xdr:row>40</xdr:row>
      <xdr:rowOff>942975</xdr:rowOff>
    </xdr:to>
    <xdr:sp macro="" textlink="">
      <xdr:nvSpPr>
        <xdr:cNvPr id="57" name="TextBox 56">
          <a:hlinkClick xmlns:r="http://schemas.openxmlformats.org/officeDocument/2006/relationships" r:id="rId31"/>
          <a:extLst>
            <a:ext uri="{FF2B5EF4-FFF2-40B4-BE49-F238E27FC236}">
              <a16:creationId xmlns:a16="http://schemas.microsoft.com/office/drawing/2014/main" id="{00000000-0008-0000-0200-000039000000}"/>
            </a:ext>
          </a:extLst>
        </xdr:cNvPr>
        <xdr:cNvSpPr txBox="1"/>
      </xdr:nvSpPr>
      <xdr:spPr>
        <a:xfrm>
          <a:off x="3543302" y="109156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41</xdr:row>
      <xdr:rowOff>790575</xdr:rowOff>
    </xdr:from>
    <xdr:to>
      <xdr:col>3</xdr:col>
      <xdr:colOff>152401</xdr:colOff>
      <xdr:row>41</xdr:row>
      <xdr:rowOff>942975</xdr:rowOff>
    </xdr:to>
    <xdr:sp macro="" textlink="">
      <xdr:nvSpPr>
        <xdr:cNvPr id="58" name="TextBox 57">
          <a:hlinkClick xmlns:r="http://schemas.openxmlformats.org/officeDocument/2006/relationships" r:id="rId32"/>
          <a:extLst>
            <a:ext uri="{FF2B5EF4-FFF2-40B4-BE49-F238E27FC236}">
              <a16:creationId xmlns:a16="http://schemas.microsoft.com/office/drawing/2014/main" id="{00000000-0008-0000-0200-00003A000000}"/>
            </a:ext>
          </a:extLst>
        </xdr:cNvPr>
        <xdr:cNvSpPr txBox="1"/>
      </xdr:nvSpPr>
      <xdr:spPr>
        <a:xfrm>
          <a:off x="3533777" y="118776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42</xdr:row>
      <xdr:rowOff>790575</xdr:rowOff>
    </xdr:from>
    <xdr:to>
      <xdr:col>3</xdr:col>
      <xdr:colOff>161926</xdr:colOff>
      <xdr:row>42</xdr:row>
      <xdr:rowOff>942975</xdr:rowOff>
    </xdr:to>
    <xdr:sp macro="" textlink="">
      <xdr:nvSpPr>
        <xdr:cNvPr id="59" name="TextBox 58">
          <a:hlinkClick xmlns:r="http://schemas.openxmlformats.org/officeDocument/2006/relationships" r:id="rId33"/>
          <a:extLst>
            <a:ext uri="{FF2B5EF4-FFF2-40B4-BE49-F238E27FC236}">
              <a16:creationId xmlns:a16="http://schemas.microsoft.com/office/drawing/2014/main" id="{00000000-0008-0000-0200-00003B000000}"/>
            </a:ext>
          </a:extLst>
        </xdr:cNvPr>
        <xdr:cNvSpPr txBox="1"/>
      </xdr:nvSpPr>
      <xdr:spPr>
        <a:xfrm>
          <a:off x="3543302" y="128397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44</xdr:row>
      <xdr:rowOff>790575</xdr:rowOff>
    </xdr:from>
    <xdr:to>
      <xdr:col>3</xdr:col>
      <xdr:colOff>152401</xdr:colOff>
      <xdr:row>44</xdr:row>
      <xdr:rowOff>942975</xdr:rowOff>
    </xdr:to>
    <xdr:sp macro="" textlink="">
      <xdr:nvSpPr>
        <xdr:cNvPr id="60" name="TextBox 59">
          <a:hlinkClick xmlns:r="http://schemas.openxmlformats.org/officeDocument/2006/relationships" r:id="rId34"/>
          <a:extLst>
            <a:ext uri="{FF2B5EF4-FFF2-40B4-BE49-F238E27FC236}">
              <a16:creationId xmlns:a16="http://schemas.microsoft.com/office/drawing/2014/main" id="{00000000-0008-0000-0200-00003C000000}"/>
            </a:ext>
          </a:extLst>
        </xdr:cNvPr>
        <xdr:cNvSpPr txBox="1"/>
      </xdr:nvSpPr>
      <xdr:spPr>
        <a:xfrm>
          <a:off x="3533777" y="147637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43</xdr:row>
      <xdr:rowOff>790575</xdr:rowOff>
    </xdr:from>
    <xdr:to>
      <xdr:col>3</xdr:col>
      <xdr:colOff>152401</xdr:colOff>
      <xdr:row>43</xdr:row>
      <xdr:rowOff>942975</xdr:rowOff>
    </xdr:to>
    <xdr:sp macro="" textlink="">
      <xdr:nvSpPr>
        <xdr:cNvPr id="61" name="TextBox 60">
          <a:hlinkClick xmlns:r="http://schemas.openxmlformats.org/officeDocument/2006/relationships" r:id="rId35"/>
          <a:extLst>
            <a:ext uri="{FF2B5EF4-FFF2-40B4-BE49-F238E27FC236}">
              <a16:creationId xmlns:a16="http://schemas.microsoft.com/office/drawing/2014/main" id="{00000000-0008-0000-0200-00003D000000}"/>
            </a:ext>
          </a:extLst>
        </xdr:cNvPr>
        <xdr:cNvSpPr txBox="1"/>
      </xdr:nvSpPr>
      <xdr:spPr>
        <a:xfrm>
          <a:off x="3533777" y="138017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45</xdr:row>
      <xdr:rowOff>790575</xdr:rowOff>
    </xdr:from>
    <xdr:to>
      <xdr:col>3</xdr:col>
      <xdr:colOff>152401</xdr:colOff>
      <xdr:row>45</xdr:row>
      <xdr:rowOff>942975</xdr:rowOff>
    </xdr:to>
    <xdr:sp macro="" textlink="">
      <xdr:nvSpPr>
        <xdr:cNvPr id="62" name="TextBox 61">
          <a:hlinkClick xmlns:r="http://schemas.openxmlformats.org/officeDocument/2006/relationships" r:id="rId36"/>
          <a:extLst>
            <a:ext uri="{FF2B5EF4-FFF2-40B4-BE49-F238E27FC236}">
              <a16:creationId xmlns:a16="http://schemas.microsoft.com/office/drawing/2014/main" id="{00000000-0008-0000-0200-00003E000000}"/>
            </a:ext>
          </a:extLst>
        </xdr:cNvPr>
        <xdr:cNvSpPr txBox="1"/>
      </xdr:nvSpPr>
      <xdr:spPr>
        <a:xfrm>
          <a:off x="3533777" y="157257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46</xdr:row>
      <xdr:rowOff>790575</xdr:rowOff>
    </xdr:from>
    <xdr:to>
      <xdr:col>3</xdr:col>
      <xdr:colOff>152399</xdr:colOff>
      <xdr:row>46</xdr:row>
      <xdr:rowOff>942975</xdr:rowOff>
    </xdr:to>
    <xdr:sp macro="" textlink="">
      <xdr:nvSpPr>
        <xdr:cNvPr id="43" name="TextBox 42">
          <a:hlinkClick xmlns:r="http://schemas.openxmlformats.org/officeDocument/2006/relationships" r:id="rId37"/>
          <a:extLst>
            <a:ext uri="{FF2B5EF4-FFF2-40B4-BE49-F238E27FC236}">
              <a16:creationId xmlns:a16="http://schemas.microsoft.com/office/drawing/2014/main" id="{00000000-0008-0000-0200-00002B000000}"/>
            </a:ext>
          </a:extLst>
        </xdr:cNvPr>
        <xdr:cNvSpPr txBox="1"/>
      </xdr:nvSpPr>
      <xdr:spPr>
        <a:xfrm>
          <a:off x="3533775" y="254889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200025</xdr:colOff>
          <xdr:row>1</xdr:row>
          <xdr:rowOff>95250</xdr:rowOff>
        </xdr:from>
        <xdr:to>
          <xdr:col>2</xdr:col>
          <xdr:colOff>828675</xdr:colOff>
          <xdr:row>1</xdr:row>
          <xdr:rowOff>666750</xdr:rowOff>
        </xdr:to>
        <xdr:sp macro="" textlink="">
          <xdr:nvSpPr>
            <xdr:cNvPr id="28673" name="CommandButton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xdr:row>
          <xdr:rowOff>85725</xdr:rowOff>
        </xdr:from>
        <xdr:to>
          <xdr:col>2</xdr:col>
          <xdr:colOff>809625</xdr:colOff>
          <xdr:row>2</xdr:row>
          <xdr:rowOff>647700</xdr:rowOff>
        </xdr:to>
        <xdr:sp macro="" textlink="">
          <xdr:nvSpPr>
            <xdr:cNvPr id="28674" name="CommandButton2" hidden="1">
              <a:extLst>
                <a:ext uri="{63B3BB69-23CF-44E3-9099-C40C66FF867C}">
                  <a14:compatExt spid="_x0000_s28674"/>
                </a:ext>
                <a:ext uri="{FF2B5EF4-FFF2-40B4-BE49-F238E27FC236}">
                  <a16:creationId xmlns:a16="http://schemas.microsoft.com/office/drawing/2014/main" id="{00000000-0008-0000-0300-000002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14</xdr:row>
          <xdr:rowOff>133350</xdr:rowOff>
        </xdr:from>
        <xdr:to>
          <xdr:col>2</xdr:col>
          <xdr:colOff>800100</xdr:colOff>
          <xdr:row>14</xdr:row>
          <xdr:rowOff>695325</xdr:rowOff>
        </xdr:to>
        <xdr:sp macro="" textlink="">
          <xdr:nvSpPr>
            <xdr:cNvPr id="28675" name="CommandButton3" hidden="1">
              <a:extLst>
                <a:ext uri="{63B3BB69-23CF-44E3-9099-C40C66FF867C}">
                  <a14:compatExt spid="_x0000_s28675"/>
                </a:ext>
                <a:ext uri="{FF2B5EF4-FFF2-40B4-BE49-F238E27FC236}">
                  <a16:creationId xmlns:a16="http://schemas.microsoft.com/office/drawing/2014/main" id="{00000000-0008-0000-0300-000003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15</xdr:row>
          <xdr:rowOff>114300</xdr:rowOff>
        </xdr:from>
        <xdr:to>
          <xdr:col>2</xdr:col>
          <xdr:colOff>809625</xdr:colOff>
          <xdr:row>15</xdr:row>
          <xdr:rowOff>666750</xdr:rowOff>
        </xdr:to>
        <xdr:sp macro="" textlink="">
          <xdr:nvSpPr>
            <xdr:cNvPr id="28676" name="CommandButton4" hidden="1">
              <a:extLst>
                <a:ext uri="{63B3BB69-23CF-44E3-9099-C40C66FF867C}">
                  <a14:compatExt spid="_x0000_s28676"/>
                </a:ext>
                <a:ext uri="{FF2B5EF4-FFF2-40B4-BE49-F238E27FC236}">
                  <a16:creationId xmlns:a16="http://schemas.microsoft.com/office/drawing/2014/main" id="{00000000-0008-0000-0300-000004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503997</xdr:colOff>
      <xdr:row>0</xdr:row>
      <xdr:rowOff>55907</xdr:rowOff>
    </xdr:from>
    <xdr:to>
      <xdr:col>9</xdr:col>
      <xdr:colOff>679367</xdr:colOff>
      <xdr:row>0</xdr:row>
      <xdr:rowOff>302287</xdr:rowOff>
    </xdr:to>
    <xdr:pic>
      <xdr:nvPicPr>
        <xdr:cNvPr id="7" name="Picture 6">
          <a:extLst>
            <a:ext uri="{FF2B5EF4-FFF2-40B4-BE49-F238E27FC236}">
              <a16:creationId xmlns:a16="http://schemas.microsoft.com/office/drawing/2014/main" id="{00000000-0008-0000-0300-000007000000}"/>
            </a:ext>
          </a:extLst>
        </xdr:cNvPr>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0543347" y="55907"/>
          <a:ext cx="1718420" cy="246380"/>
        </a:xfrm>
        <a:prstGeom prst="rect">
          <a:avLst/>
        </a:prstGeom>
      </xdr:spPr>
    </xdr:pic>
    <xdr:clientData/>
  </xdr:twoCellAnchor>
  <xdr:twoCellAnchor>
    <xdr:from>
      <xdr:col>3</xdr:col>
      <xdr:colOff>19050</xdr:colOff>
      <xdr:row>3</xdr:row>
      <xdr:rowOff>628650</xdr:rowOff>
    </xdr:from>
    <xdr:to>
      <xdr:col>3</xdr:col>
      <xdr:colOff>161925</xdr:colOff>
      <xdr:row>3</xdr:row>
      <xdr:rowOff>781050</xdr:rowOff>
    </xdr:to>
    <xdr:sp macro="" textlink="">
      <xdr:nvSpPr>
        <xdr:cNvPr id="8" name="TextBox 7">
          <a:hlinkClick xmlns:r="http://schemas.openxmlformats.org/officeDocument/2006/relationships" r:id="rId2"/>
          <a:extLst>
            <a:ext uri="{FF2B5EF4-FFF2-40B4-BE49-F238E27FC236}">
              <a16:creationId xmlns:a16="http://schemas.microsoft.com/office/drawing/2014/main" id="{00000000-0008-0000-0300-000008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4</xdr:row>
      <xdr:rowOff>628650</xdr:rowOff>
    </xdr:from>
    <xdr:to>
      <xdr:col>3</xdr:col>
      <xdr:colOff>161925</xdr:colOff>
      <xdr:row>4</xdr:row>
      <xdr:rowOff>781050</xdr:rowOff>
    </xdr:to>
    <xdr:sp macro="" textlink="">
      <xdr:nvSpPr>
        <xdr:cNvPr id="9" name="TextBox 8">
          <a:hlinkClick xmlns:r="http://schemas.openxmlformats.org/officeDocument/2006/relationships" r:id="rId3"/>
          <a:extLst>
            <a:ext uri="{FF2B5EF4-FFF2-40B4-BE49-F238E27FC236}">
              <a16:creationId xmlns:a16="http://schemas.microsoft.com/office/drawing/2014/main" id="{00000000-0008-0000-0300-000009000000}"/>
            </a:ext>
          </a:extLst>
        </xdr:cNvPr>
        <xdr:cNvSpPr txBox="1"/>
      </xdr:nvSpPr>
      <xdr:spPr>
        <a:xfrm>
          <a:off x="3543300" y="3381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5</xdr:row>
      <xdr:rowOff>628650</xdr:rowOff>
    </xdr:from>
    <xdr:to>
      <xdr:col>3</xdr:col>
      <xdr:colOff>161925</xdr:colOff>
      <xdr:row>5</xdr:row>
      <xdr:rowOff>781050</xdr:rowOff>
    </xdr:to>
    <xdr:sp macro="" textlink="">
      <xdr:nvSpPr>
        <xdr:cNvPr id="10" name="TextBox 9">
          <a:hlinkClick xmlns:r="http://schemas.openxmlformats.org/officeDocument/2006/relationships" r:id="rId4"/>
          <a:extLst>
            <a:ext uri="{FF2B5EF4-FFF2-40B4-BE49-F238E27FC236}">
              <a16:creationId xmlns:a16="http://schemas.microsoft.com/office/drawing/2014/main" id="{00000000-0008-0000-0300-00000A000000}"/>
            </a:ext>
          </a:extLst>
        </xdr:cNvPr>
        <xdr:cNvSpPr txBox="1"/>
      </xdr:nvSpPr>
      <xdr:spPr>
        <a:xfrm>
          <a:off x="3543300" y="4181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6</xdr:row>
      <xdr:rowOff>628650</xdr:rowOff>
    </xdr:from>
    <xdr:to>
      <xdr:col>3</xdr:col>
      <xdr:colOff>161925</xdr:colOff>
      <xdr:row>6</xdr:row>
      <xdr:rowOff>781050</xdr:rowOff>
    </xdr:to>
    <xdr:sp macro="" textlink="">
      <xdr:nvSpPr>
        <xdr:cNvPr id="11" name="TextBox 10">
          <a:hlinkClick xmlns:r="http://schemas.openxmlformats.org/officeDocument/2006/relationships" r:id="rId5"/>
          <a:extLst>
            <a:ext uri="{FF2B5EF4-FFF2-40B4-BE49-F238E27FC236}">
              <a16:creationId xmlns:a16="http://schemas.microsoft.com/office/drawing/2014/main" id="{00000000-0008-0000-0300-00000B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9</xdr:row>
      <xdr:rowOff>628650</xdr:rowOff>
    </xdr:from>
    <xdr:to>
      <xdr:col>3</xdr:col>
      <xdr:colOff>161925</xdr:colOff>
      <xdr:row>9</xdr:row>
      <xdr:rowOff>781050</xdr:rowOff>
    </xdr:to>
    <xdr:sp macro="" textlink="">
      <xdr:nvSpPr>
        <xdr:cNvPr id="12" name="TextBox 11">
          <a:hlinkClick xmlns:r="http://schemas.openxmlformats.org/officeDocument/2006/relationships" r:id="rId6"/>
          <a:extLst>
            <a:ext uri="{FF2B5EF4-FFF2-40B4-BE49-F238E27FC236}">
              <a16:creationId xmlns:a16="http://schemas.microsoft.com/office/drawing/2014/main" id="{00000000-0008-0000-0300-00000C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10</xdr:row>
      <xdr:rowOff>628650</xdr:rowOff>
    </xdr:from>
    <xdr:to>
      <xdr:col>3</xdr:col>
      <xdr:colOff>161925</xdr:colOff>
      <xdr:row>10</xdr:row>
      <xdr:rowOff>781050</xdr:rowOff>
    </xdr:to>
    <xdr:sp macro="" textlink="">
      <xdr:nvSpPr>
        <xdr:cNvPr id="13" name="TextBox 12">
          <a:hlinkClick xmlns:r="http://schemas.openxmlformats.org/officeDocument/2006/relationships" r:id="rId7"/>
          <a:extLst>
            <a:ext uri="{FF2B5EF4-FFF2-40B4-BE49-F238E27FC236}">
              <a16:creationId xmlns:a16="http://schemas.microsoft.com/office/drawing/2014/main" id="{00000000-0008-0000-0300-00000D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11</xdr:row>
      <xdr:rowOff>628650</xdr:rowOff>
    </xdr:from>
    <xdr:to>
      <xdr:col>3</xdr:col>
      <xdr:colOff>161925</xdr:colOff>
      <xdr:row>11</xdr:row>
      <xdr:rowOff>781050</xdr:rowOff>
    </xdr:to>
    <xdr:sp macro="" textlink="">
      <xdr:nvSpPr>
        <xdr:cNvPr id="14" name="TextBox 13">
          <a:hlinkClick xmlns:r="http://schemas.openxmlformats.org/officeDocument/2006/relationships" r:id="rId8"/>
          <a:extLst>
            <a:ext uri="{FF2B5EF4-FFF2-40B4-BE49-F238E27FC236}">
              <a16:creationId xmlns:a16="http://schemas.microsoft.com/office/drawing/2014/main" id="{00000000-0008-0000-0300-00000E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12</xdr:row>
      <xdr:rowOff>628650</xdr:rowOff>
    </xdr:from>
    <xdr:to>
      <xdr:col>3</xdr:col>
      <xdr:colOff>161925</xdr:colOff>
      <xdr:row>12</xdr:row>
      <xdr:rowOff>781050</xdr:rowOff>
    </xdr:to>
    <xdr:sp macro="" textlink="">
      <xdr:nvSpPr>
        <xdr:cNvPr id="15" name="TextBox 14">
          <a:hlinkClick xmlns:r="http://schemas.openxmlformats.org/officeDocument/2006/relationships" r:id="rId9"/>
          <a:extLst>
            <a:ext uri="{FF2B5EF4-FFF2-40B4-BE49-F238E27FC236}">
              <a16:creationId xmlns:a16="http://schemas.microsoft.com/office/drawing/2014/main" id="{00000000-0008-0000-0300-00000F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16" name="TextBox 15">
          <a:hlinkClick xmlns:r="http://schemas.openxmlformats.org/officeDocument/2006/relationships" r:id="rId10"/>
          <a:extLst>
            <a:ext uri="{FF2B5EF4-FFF2-40B4-BE49-F238E27FC236}">
              <a16:creationId xmlns:a16="http://schemas.microsoft.com/office/drawing/2014/main" id="{00000000-0008-0000-0300-000010000000}"/>
            </a:ext>
          </a:extLst>
        </xdr:cNvPr>
        <xdr:cNvSpPr txBox="1"/>
      </xdr:nvSpPr>
      <xdr:spPr>
        <a:xfrm>
          <a:off x="3543300" y="12982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17" name="TextBox 16">
          <a:hlinkClick xmlns:r="http://schemas.openxmlformats.org/officeDocument/2006/relationships" r:id="rId11"/>
          <a:extLst>
            <a:ext uri="{FF2B5EF4-FFF2-40B4-BE49-F238E27FC236}">
              <a16:creationId xmlns:a16="http://schemas.microsoft.com/office/drawing/2014/main" id="{00000000-0008-0000-0300-000011000000}"/>
            </a:ext>
          </a:extLst>
        </xdr:cNvPr>
        <xdr:cNvSpPr txBox="1"/>
      </xdr:nvSpPr>
      <xdr:spPr>
        <a:xfrm>
          <a:off x="3543300" y="14582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22</xdr:row>
      <xdr:rowOff>628650</xdr:rowOff>
    </xdr:from>
    <xdr:to>
      <xdr:col>3</xdr:col>
      <xdr:colOff>161925</xdr:colOff>
      <xdr:row>22</xdr:row>
      <xdr:rowOff>781050</xdr:rowOff>
    </xdr:to>
    <xdr:sp macro="" textlink="">
      <xdr:nvSpPr>
        <xdr:cNvPr id="18" name="TextBox 17">
          <a:hlinkClick xmlns:r="http://schemas.openxmlformats.org/officeDocument/2006/relationships" r:id="rId12"/>
          <a:extLst>
            <a:ext uri="{FF2B5EF4-FFF2-40B4-BE49-F238E27FC236}">
              <a16:creationId xmlns:a16="http://schemas.microsoft.com/office/drawing/2014/main" id="{00000000-0008-0000-0300-000012000000}"/>
            </a:ext>
          </a:extLst>
        </xdr:cNvPr>
        <xdr:cNvSpPr txBox="1"/>
      </xdr:nvSpPr>
      <xdr:spPr>
        <a:xfrm>
          <a:off x="3543300" y="15382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23</xdr:row>
      <xdr:rowOff>628650</xdr:rowOff>
    </xdr:from>
    <xdr:to>
      <xdr:col>3</xdr:col>
      <xdr:colOff>161925</xdr:colOff>
      <xdr:row>23</xdr:row>
      <xdr:rowOff>781050</xdr:rowOff>
    </xdr:to>
    <xdr:sp macro="" textlink="">
      <xdr:nvSpPr>
        <xdr:cNvPr id="19" name="TextBox 18">
          <a:hlinkClick xmlns:r="http://schemas.openxmlformats.org/officeDocument/2006/relationships" r:id="rId13"/>
          <a:extLst>
            <a:ext uri="{FF2B5EF4-FFF2-40B4-BE49-F238E27FC236}">
              <a16:creationId xmlns:a16="http://schemas.microsoft.com/office/drawing/2014/main" id="{00000000-0008-0000-0300-000013000000}"/>
            </a:ext>
          </a:extLst>
        </xdr:cNvPr>
        <xdr:cNvSpPr txBox="1"/>
      </xdr:nvSpPr>
      <xdr:spPr>
        <a:xfrm>
          <a:off x="3543300" y="16182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24</xdr:row>
      <xdr:rowOff>628650</xdr:rowOff>
    </xdr:from>
    <xdr:to>
      <xdr:col>3</xdr:col>
      <xdr:colOff>161925</xdr:colOff>
      <xdr:row>24</xdr:row>
      <xdr:rowOff>781050</xdr:rowOff>
    </xdr:to>
    <xdr:sp macro="" textlink="">
      <xdr:nvSpPr>
        <xdr:cNvPr id="20" name="TextBox 19">
          <a:hlinkClick xmlns:r="http://schemas.openxmlformats.org/officeDocument/2006/relationships" r:id="rId14"/>
          <a:extLst>
            <a:ext uri="{FF2B5EF4-FFF2-40B4-BE49-F238E27FC236}">
              <a16:creationId xmlns:a16="http://schemas.microsoft.com/office/drawing/2014/main" id="{00000000-0008-0000-0300-000014000000}"/>
            </a:ext>
          </a:extLst>
        </xdr:cNvPr>
        <xdr:cNvSpPr txBox="1"/>
      </xdr:nvSpPr>
      <xdr:spPr>
        <a:xfrm>
          <a:off x="3543300" y="169830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25</xdr:row>
      <xdr:rowOff>628650</xdr:rowOff>
    </xdr:from>
    <xdr:to>
      <xdr:col>3</xdr:col>
      <xdr:colOff>161925</xdr:colOff>
      <xdr:row>25</xdr:row>
      <xdr:rowOff>781050</xdr:rowOff>
    </xdr:to>
    <xdr:sp macro="" textlink="">
      <xdr:nvSpPr>
        <xdr:cNvPr id="21" name="TextBox 20">
          <a:hlinkClick xmlns:r="http://schemas.openxmlformats.org/officeDocument/2006/relationships" r:id="rId15"/>
          <a:extLst>
            <a:ext uri="{FF2B5EF4-FFF2-40B4-BE49-F238E27FC236}">
              <a16:creationId xmlns:a16="http://schemas.microsoft.com/office/drawing/2014/main" id="{00000000-0008-0000-0300-000015000000}"/>
            </a:ext>
          </a:extLst>
        </xdr:cNvPr>
        <xdr:cNvSpPr txBox="1"/>
      </xdr:nvSpPr>
      <xdr:spPr>
        <a:xfrm>
          <a:off x="3543300" y="177831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26</xdr:row>
      <xdr:rowOff>628650</xdr:rowOff>
    </xdr:from>
    <xdr:to>
      <xdr:col>3</xdr:col>
      <xdr:colOff>161925</xdr:colOff>
      <xdr:row>26</xdr:row>
      <xdr:rowOff>781050</xdr:rowOff>
    </xdr:to>
    <xdr:sp macro="" textlink="">
      <xdr:nvSpPr>
        <xdr:cNvPr id="22" name="TextBox 21">
          <a:hlinkClick xmlns:r="http://schemas.openxmlformats.org/officeDocument/2006/relationships" r:id="rId16"/>
          <a:extLst>
            <a:ext uri="{FF2B5EF4-FFF2-40B4-BE49-F238E27FC236}">
              <a16:creationId xmlns:a16="http://schemas.microsoft.com/office/drawing/2014/main" id="{00000000-0008-0000-0300-000016000000}"/>
            </a:ext>
          </a:extLst>
        </xdr:cNvPr>
        <xdr:cNvSpPr txBox="1"/>
      </xdr:nvSpPr>
      <xdr:spPr>
        <a:xfrm>
          <a:off x="3543300" y="18583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27</xdr:row>
      <xdr:rowOff>628650</xdr:rowOff>
    </xdr:from>
    <xdr:to>
      <xdr:col>3</xdr:col>
      <xdr:colOff>161925</xdr:colOff>
      <xdr:row>27</xdr:row>
      <xdr:rowOff>781050</xdr:rowOff>
    </xdr:to>
    <xdr:sp macro="" textlink="">
      <xdr:nvSpPr>
        <xdr:cNvPr id="23" name="TextBox 22">
          <a:hlinkClick xmlns:r="http://schemas.openxmlformats.org/officeDocument/2006/relationships" r:id="rId17"/>
          <a:extLst>
            <a:ext uri="{FF2B5EF4-FFF2-40B4-BE49-F238E27FC236}">
              <a16:creationId xmlns:a16="http://schemas.microsoft.com/office/drawing/2014/main" id="{00000000-0008-0000-0300-000017000000}"/>
            </a:ext>
          </a:extLst>
        </xdr:cNvPr>
        <xdr:cNvSpPr txBox="1"/>
      </xdr:nvSpPr>
      <xdr:spPr>
        <a:xfrm>
          <a:off x="3543300" y="19383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28</xdr:row>
      <xdr:rowOff>628650</xdr:rowOff>
    </xdr:from>
    <xdr:to>
      <xdr:col>3</xdr:col>
      <xdr:colOff>161925</xdr:colOff>
      <xdr:row>28</xdr:row>
      <xdr:rowOff>781050</xdr:rowOff>
    </xdr:to>
    <xdr:sp macro="" textlink="">
      <xdr:nvSpPr>
        <xdr:cNvPr id="24" name="TextBox 23">
          <a:hlinkClick xmlns:r="http://schemas.openxmlformats.org/officeDocument/2006/relationships" r:id="rId18"/>
          <a:extLst>
            <a:ext uri="{FF2B5EF4-FFF2-40B4-BE49-F238E27FC236}">
              <a16:creationId xmlns:a16="http://schemas.microsoft.com/office/drawing/2014/main" id="{00000000-0008-0000-0300-000018000000}"/>
            </a:ext>
          </a:extLst>
        </xdr:cNvPr>
        <xdr:cNvSpPr txBox="1"/>
      </xdr:nvSpPr>
      <xdr:spPr>
        <a:xfrm>
          <a:off x="3543300" y="20183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31</xdr:row>
      <xdr:rowOff>628650</xdr:rowOff>
    </xdr:from>
    <xdr:to>
      <xdr:col>3</xdr:col>
      <xdr:colOff>161925</xdr:colOff>
      <xdr:row>31</xdr:row>
      <xdr:rowOff>781050</xdr:rowOff>
    </xdr:to>
    <xdr:sp macro="" textlink="">
      <xdr:nvSpPr>
        <xdr:cNvPr id="25" name="TextBox 24">
          <a:hlinkClick xmlns:r="http://schemas.openxmlformats.org/officeDocument/2006/relationships" r:id="rId19"/>
          <a:extLst>
            <a:ext uri="{FF2B5EF4-FFF2-40B4-BE49-F238E27FC236}">
              <a16:creationId xmlns:a16="http://schemas.microsoft.com/office/drawing/2014/main" id="{00000000-0008-0000-0300-000019000000}"/>
            </a:ext>
          </a:extLst>
        </xdr:cNvPr>
        <xdr:cNvSpPr txBox="1"/>
      </xdr:nvSpPr>
      <xdr:spPr>
        <a:xfrm>
          <a:off x="3543300" y="22583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26" name="TextBox 25">
          <a:hlinkClick xmlns:r="http://schemas.openxmlformats.org/officeDocument/2006/relationships" r:id="rId20"/>
          <a:extLst>
            <a:ext uri="{FF2B5EF4-FFF2-40B4-BE49-F238E27FC236}">
              <a16:creationId xmlns:a16="http://schemas.microsoft.com/office/drawing/2014/main" id="{00000000-0008-0000-0300-00001A000000}"/>
            </a:ext>
          </a:extLst>
        </xdr:cNvPr>
        <xdr:cNvSpPr txBox="1"/>
      </xdr:nvSpPr>
      <xdr:spPr>
        <a:xfrm>
          <a:off x="3543302" y="113823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29</xdr:row>
      <xdr:rowOff>628650</xdr:rowOff>
    </xdr:from>
    <xdr:to>
      <xdr:col>3</xdr:col>
      <xdr:colOff>161926</xdr:colOff>
      <xdr:row>29</xdr:row>
      <xdr:rowOff>781050</xdr:rowOff>
    </xdr:to>
    <xdr:sp macro="" textlink="">
      <xdr:nvSpPr>
        <xdr:cNvPr id="27" name="TextBox 26">
          <a:hlinkClick xmlns:r="http://schemas.openxmlformats.org/officeDocument/2006/relationships" r:id="rId21"/>
          <a:extLst>
            <a:ext uri="{FF2B5EF4-FFF2-40B4-BE49-F238E27FC236}">
              <a16:creationId xmlns:a16="http://schemas.microsoft.com/office/drawing/2014/main" id="{00000000-0008-0000-0300-00001B000000}"/>
            </a:ext>
          </a:extLst>
        </xdr:cNvPr>
        <xdr:cNvSpPr txBox="1"/>
      </xdr:nvSpPr>
      <xdr:spPr>
        <a:xfrm>
          <a:off x="3543302" y="209835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38" name="TextBox 37">
          <a:hlinkClick xmlns:r="http://schemas.openxmlformats.org/officeDocument/2006/relationships" r:id="rId22"/>
          <a:extLst>
            <a:ext uri="{FF2B5EF4-FFF2-40B4-BE49-F238E27FC236}">
              <a16:creationId xmlns:a16="http://schemas.microsoft.com/office/drawing/2014/main" id="{00000000-0008-0000-0300-000026000000}"/>
            </a:ext>
          </a:extLst>
        </xdr:cNvPr>
        <xdr:cNvSpPr txBox="1"/>
      </xdr:nvSpPr>
      <xdr:spPr>
        <a:xfrm>
          <a:off x="3543300" y="13782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7</xdr:row>
      <xdr:rowOff>628650</xdr:rowOff>
    </xdr:from>
    <xdr:to>
      <xdr:col>3</xdr:col>
      <xdr:colOff>161925</xdr:colOff>
      <xdr:row>7</xdr:row>
      <xdr:rowOff>781050</xdr:rowOff>
    </xdr:to>
    <xdr:sp macro="" textlink="">
      <xdr:nvSpPr>
        <xdr:cNvPr id="39" name="TextBox 38">
          <a:hlinkClick xmlns:r="http://schemas.openxmlformats.org/officeDocument/2006/relationships" r:id="rId23"/>
          <a:extLst>
            <a:ext uri="{FF2B5EF4-FFF2-40B4-BE49-F238E27FC236}">
              <a16:creationId xmlns:a16="http://schemas.microsoft.com/office/drawing/2014/main" id="{00000000-0008-0000-0300-000027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8</xdr:row>
      <xdr:rowOff>628650</xdr:rowOff>
    </xdr:from>
    <xdr:to>
      <xdr:col>3</xdr:col>
      <xdr:colOff>161925</xdr:colOff>
      <xdr:row>8</xdr:row>
      <xdr:rowOff>781050</xdr:rowOff>
    </xdr:to>
    <xdr:sp macro="" textlink="">
      <xdr:nvSpPr>
        <xdr:cNvPr id="40" name="TextBox 39">
          <a:hlinkClick xmlns:r="http://schemas.openxmlformats.org/officeDocument/2006/relationships" r:id="rId24"/>
          <a:extLst>
            <a:ext uri="{FF2B5EF4-FFF2-40B4-BE49-F238E27FC236}">
              <a16:creationId xmlns:a16="http://schemas.microsoft.com/office/drawing/2014/main" id="{00000000-0008-0000-0300-000028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41" name="TextBox 40">
          <a:hlinkClick xmlns:r="http://schemas.openxmlformats.org/officeDocument/2006/relationships" r:id="rId11"/>
          <a:extLst>
            <a:ext uri="{FF2B5EF4-FFF2-40B4-BE49-F238E27FC236}">
              <a16:creationId xmlns:a16="http://schemas.microsoft.com/office/drawing/2014/main" id="{00000000-0008-0000-0300-000029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42" name="TextBox 41">
          <a:hlinkClick xmlns:r="http://schemas.openxmlformats.org/officeDocument/2006/relationships" r:id="rId25"/>
          <a:extLst>
            <a:ext uri="{FF2B5EF4-FFF2-40B4-BE49-F238E27FC236}">
              <a16:creationId xmlns:a16="http://schemas.microsoft.com/office/drawing/2014/main" id="{00000000-0008-0000-0300-00002A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43" name="TextBox 42">
          <a:hlinkClick xmlns:r="http://schemas.openxmlformats.org/officeDocument/2006/relationships" r:id="rId10"/>
          <a:extLst>
            <a:ext uri="{FF2B5EF4-FFF2-40B4-BE49-F238E27FC236}">
              <a16:creationId xmlns:a16="http://schemas.microsoft.com/office/drawing/2014/main" id="{00000000-0008-0000-0300-00002B000000}"/>
            </a:ext>
          </a:extLst>
        </xdr:cNvPr>
        <xdr:cNvSpPr txBox="1"/>
      </xdr:nvSpPr>
      <xdr:spPr>
        <a:xfrm>
          <a:off x="3543302" y="41814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4" name="TextBox 43">
          <a:hlinkClick xmlns:r="http://schemas.openxmlformats.org/officeDocument/2006/relationships" r:id="rId26"/>
          <a:extLst>
            <a:ext uri="{FF2B5EF4-FFF2-40B4-BE49-F238E27FC236}">
              <a16:creationId xmlns:a16="http://schemas.microsoft.com/office/drawing/2014/main" id="{00000000-0008-0000-0300-00002C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21</xdr:row>
      <xdr:rowOff>628650</xdr:rowOff>
    </xdr:from>
    <xdr:to>
      <xdr:col>3</xdr:col>
      <xdr:colOff>161925</xdr:colOff>
      <xdr:row>21</xdr:row>
      <xdr:rowOff>781050</xdr:rowOff>
    </xdr:to>
    <xdr:sp macro="" textlink="">
      <xdr:nvSpPr>
        <xdr:cNvPr id="45" name="TextBox 44">
          <a:hlinkClick xmlns:r="http://schemas.openxmlformats.org/officeDocument/2006/relationships" r:id="rId27"/>
          <a:extLst>
            <a:ext uri="{FF2B5EF4-FFF2-40B4-BE49-F238E27FC236}">
              <a16:creationId xmlns:a16="http://schemas.microsoft.com/office/drawing/2014/main" id="{00000000-0008-0000-0300-00002D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35</xdr:row>
      <xdr:rowOff>790575</xdr:rowOff>
    </xdr:from>
    <xdr:to>
      <xdr:col>3</xdr:col>
      <xdr:colOff>161926</xdr:colOff>
      <xdr:row>35</xdr:row>
      <xdr:rowOff>942975</xdr:rowOff>
    </xdr:to>
    <xdr:sp macro="" textlink="">
      <xdr:nvSpPr>
        <xdr:cNvPr id="46" name="TextBox 45">
          <a:hlinkClick xmlns:r="http://schemas.openxmlformats.org/officeDocument/2006/relationships" r:id="rId28"/>
          <a:extLst>
            <a:ext uri="{FF2B5EF4-FFF2-40B4-BE49-F238E27FC236}">
              <a16:creationId xmlns:a16="http://schemas.microsoft.com/office/drawing/2014/main" id="{00000000-0008-0000-0300-00002E000000}"/>
            </a:ext>
          </a:extLst>
        </xdr:cNvPr>
        <xdr:cNvSpPr txBox="1"/>
      </xdr:nvSpPr>
      <xdr:spPr>
        <a:xfrm>
          <a:off x="3543302" y="61055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37</xdr:row>
      <xdr:rowOff>790577</xdr:rowOff>
    </xdr:from>
    <xdr:to>
      <xdr:col>3</xdr:col>
      <xdr:colOff>161925</xdr:colOff>
      <xdr:row>37</xdr:row>
      <xdr:rowOff>942975</xdr:rowOff>
    </xdr:to>
    <xdr:sp macro="" textlink="">
      <xdr:nvSpPr>
        <xdr:cNvPr id="47" name="TextBox 46">
          <a:hlinkClick xmlns:r="http://schemas.openxmlformats.org/officeDocument/2006/relationships" r:id="rId29"/>
          <a:extLst>
            <a:ext uri="{FF2B5EF4-FFF2-40B4-BE49-F238E27FC236}">
              <a16:creationId xmlns:a16="http://schemas.microsoft.com/office/drawing/2014/main" id="{00000000-0008-0000-0300-00002F000000}"/>
            </a:ext>
          </a:extLst>
        </xdr:cNvPr>
        <xdr:cNvSpPr txBox="1"/>
      </xdr:nvSpPr>
      <xdr:spPr>
        <a:xfrm>
          <a:off x="3533775" y="8029577"/>
          <a:ext cx="152400" cy="15239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34</xdr:row>
      <xdr:rowOff>790575</xdr:rowOff>
    </xdr:from>
    <xdr:to>
      <xdr:col>3</xdr:col>
      <xdr:colOff>152401</xdr:colOff>
      <xdr:row>34</xdr:row>
      <xdr:rowOff>942975</xdr:rowOff>
    </xdr:to>
    <xdr:sp macro="" textlink="">
      <xdr:nvSpPr>
        <xdr:cNvPr id="48" name="TextBox 47">
          <a:hlinkClick xmlns:r="http://schemas.openxmlformats.org/officeDocument/2006/relationships" r:id="rId30"/>
          <a:extLst>
            <a:ext uri="{FF2B5EF4-FFF2-40B4-BE49-F238E27FC236}">
              <a16:creationId xmlns:a16="http://schemas.microsoft.com/office/drawing/2014/main" id="{00000000-0008-0000-0300-000030000000}"/>
            </a:ext>
          </a:extLst>
        </xdr:cNvPr>
        <xdr:cNvSpPr txBox="1"/>
      </xdr:nvSpPr>
      <xdr:spPr>
        <a:xfrm>
          <a:off x="3533777" y="51435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36</xdr:row>
      <xdr:rowOff>790575</xdr:rowOff>
    </xdr:from>
    <xdr:to>
      <xdr:col>3</xdr:col>
      <xdr:colOff>161926</xdr:colOff>
      <xdr:row>36</xdr:row>
      <xdr:rowOff>942975</xdr:rowOff>
    </xdr:to>
    <xdr:sp macro="" textlink="">
      <xdr:nvSpPr>
        <xdr:cNvPr id="49" name="TextBox 48">
          <a:hlinkClick xmlns:r="http://schemas.openxmlformats.org/officeDocument/2006/relationships" r:id="rId31"/>
          <a:extLst>
            <a:ext uri="{FF2B5EF4-FFF2-40B4-BE49-F238E27FC236}">
              <a16:creationId xmlns:a16="http://schemas.microsoft.com/office/drawing/2014/main" id="{00000000-0008-0000-0300-000031000000}"/>
            </a:ext>
          </a:extLst>
        </xdr:cNvPr>
        <xdr:cNvSpPr txBox="1"/>
      </xdr:nvSpPr>
      <xdr:spPr>
        <a:xfrm>
          <a:off x="3543302" y="70675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39</xdr:row>
      <xdr:rowOff>790575</xdr:rowOff>
    </xdr:from>
    <xdr:to>
      <xdr:col>3</xdr:col>
      <xdr:colOff>152401</xdr:colOff>
      <xdr:row>39</xdr:row>
      <xdr:rowOff>942975</xdr:rowOff>
    </xdr:to>
    <xdr:sp macro="" textlink="">
      <xdr:nvSpPr>
        <xdr:cNvPr id="50" name="TextBox 49">
          <a:hlinkClick xmlns:r="http://schemas.openxmlformats.org/officeDocument/2006/relationships" r:id="rId32"/>
          <a:extLst>
            <a:ext uri="{FF2B5EF4-FFF2-40B4-BE49-F238E27FC236}">
              <a16:creationId xmlns:a16="http://schemas.microsoft.com/office/drawing/2014/main" id="{00000000-0008-0000-0300-000032000000}"/>
            </a:ext>
          </a:extLst>
        </xdr:cNvPr>
        <xdr:cNvSpPr txBox="1"/>
      </xdr:nvSpPr>
      <xdr:spPr>
        <a:xfrm>
          <a:off x="3533777" y="99536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40</xdr:row>
      <xdr:rowOff>790575</xdr:rowOff>
    </xdr:from>
    <xdr:to>
      <xdr:col>3</xdr:col>
      <xdr:colOff>161926</xdr:colOff>
      <xdr:row>40</xdr:row>
      <xdr:rowOff>942975</xdr:rowOff>
    </xdr:to>
    <xdr:sp macro="" textlink="">
      <xdr:nvSpPr>
        <xdr:cNvPr id="51" name="TextBox 50">
          <a:hlinkClick xmlns:r="http://schemas.openxmlformats.org/officeDocument/2006/relationships" r:id="rId33"/>
          <a:extLst>
            <a:ext uri="{FF2B5EF4-FFF2-40B4-BE49-F238E27FC236}">
              <a16:creationId xmlns:a16="http://schemas.microsoft.com/office/drawing/2014/main" id="{00000000-0008-0000-0300-000033000000}"/>
            </a:ext>
          </a:extLst>
        </xdr:cNvPr>
        <xdr:cNvSpPr txBox="1"/>
      </xdr:nvSpPr>
      <xdr:spPr>
        <a:xfrm>
          <a:off x="3543302" y="109156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41</xdr:row>
      <xdr:rowOff>790575</xdr:rowOff>
    </xdr:from>
    <xdr:to>
      <xdr:col>3</xdr:col>
      <xdr:colOff>152401</xdr:colOff>
      <xdr:row>41</xdr:row>
      <xdr:rowOff>942975</xdr:rowOff>
    </xdr:to>
    <xdr:sp macro="" textlink="">
      <xdr:nvSpPr>
        <xdr:cNvPr id="52" name="TextBox 51">
          <a:hlinkClick xmlns:r="http://schemas.openxmlformats.org/officeDocument/2006/relationships" r:id="rId34"/>
          <a:extLst>
            <a:ext uri="{FF2B5EF4-FFF2-40B4-BE49-F238E27FC236}">
              <a16:creationId xmlns:a16="http://schemas.microsoft.com/office/drawing/2014/main" id="{00000000-0008-0000-0300-000034000000}"/>
            </a:ext>
          </a:extLst>
        </xdr:cNvPr>
        <xdr:cNvSpPr txBox="1"/>
      </xdr:nvSpPr>
      <xdr:spPr>
        <a:xfrm>
          <a:off x="3533777" y="118776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42</xdr:row>
      <xdr:rowOff>790575</xdr:rowOff>
    </xdr:from>
    <xdr:to>
      <xdr:col>3</xdr:col>
      <xdr:colOff>161926</xdr:colOff>
      <xdr:row>42</xdr:row>
      <xdr:rowOff>942975</xdr:rowOff>
    </xdr:to>
    <xdr:sp macro="" textlink="">
      <xdr:nvSpPr>
        <xdr:cNvPr id="53" name="TextBox 52">
          <a:hlinkClick xmlns:r="http://schemas.openxmlformats.org/officeDocument/2006/relationships" r:id="rId35"/>
          <a:extLst>
            <a:ext uri="{FF2B5EF4-FFF2-40B4-BE49-F238E27FC236}">
              <a16:creationId xmlns:a16="http://schemas.microsoft.com/office/drawing/2014/main" id="{00000000-0008-0000-0300-000035000000}"/>
            </a:ext>
          </a:extLst>
        </xdr:cNvPr>
        <xdr:cNvSpPr txBox="1"/>
      </xdr:nvSpPr>
      <xdr:spPr>
        <a:xfrm>
          <a:off x="3543302" y="128397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44</xdr:row>
      <xdr:rowOff>790575</xdr:rowOff>
    </xdr:from>
    <xdr:to>
      <xdr:col>3</xdr:col>
      <xdr:colOff>152401</xdr:colOff>
      <xdr:row>44</xdr:row>
      <xdr:rowOff>942975</xdr:rowOff>
    </xdr:to>
    <xdr:sp macro="" textlink="">
      <xdr:nvSpPr>
        <xdr:cNvPr id="54" name="TextBox 53">
          <a:hlinkClick xmlns:r="http://schemas.openxmlformats.org/officeDocument/2006/relationships" r:id="rId36"/>
          <a:extLst>
            <a:ext uri="{FF2B5EF4-FFF2-40B4-BE49-F238E27FC236}">
              <a16:creationId xmlns:a16="http://schemas.microsoft.com/office/drawing/2014/main" id="{00000000-0008-0000-0300-000036000000}"/>
            </a:ext>
          </a:extLst>
        </xdr:cNvPr>
        <xdr:cNvSpPr txBox="1"/>
      </xdr:nvSpPr>
      <xdr:spPr>
        <a:xfrm>
          <a:off x="3533777" y="147637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43</xdr:row>
      <xdr:rowOff>790575</xdr:rowOff>
    </xdr:from>
    <xdr:to>
      <xdr:col>3</xdr:col>
      <xdr:colOff>152401</xdr:colOff>
      <xdr:row>43</xdr:row>
      <xdr:rowOff>942975</xdr:rowOff>
    </xdr:to>
    <xdr:sp macro="" textlink="">
      <xdr:nvSpPr>
        <xdr:cNvPr id="55" name="TextBox 54">
          <a:hlinkClick xmlns:r="http://schemas.openxmlformats.org/officeDocument/2006/relationships" r:id="rId37"/>
          <a:extLst>
            <a:ext uri="{FF2B5EF4-FFF2-40B4-BE49-F238E27FC236}">
              <a16:creationId xmlns:a16="http://schemas.microsoft.com/office/drawing/2014/main" id="{00000000-0008-0000-0300-000037000000}"/>
            </a:ext>
          </a:extLst>
        </xdr:cNvPr>
        <xdr:cNvSpPr txBox="1"/>
      </xdr:nvSpPr>
      <xdr:spPr>
        <a:xfrm>
          <a:off x="3533777" y="138017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45</xdr:row>
      <xdr:rowOff>790575</xdr:rowOff>
    </xdr:from>
    <xdr:to>
      <xdr:col>3</xdr:col>
      <xdr:colOff>152401</xdr:colOff>
      <xdr:row>45</xdr:row>
      <xdr:rowOff>942975</xdr:rowOff>
    </xdr:to>
    <xdr:sp macro="" textlink="">
      <xdr:nvSpPr>
        <xdr:cNvPr id="56" name="TextBox 55">
          <a:hlinkClick xmlns:r="http://schemas.openxmlformats.org/officeDocument/2006/relationships" r:id="rId38"/>
          <a:extLst>
            <a:ext uri="{FF2B5EF4-FFF2-40B4-BE49-F238E27FC236}">
              <a16:creationId xmlns:a16="http://schemas.microsoft.com/office/drawing/2014/main" id="{00000000-0008-0000-0300-000038000000}"/>
            </a:ext>
          </a:extLst>
        </xdr:cNvPr>
        <xdr:cNvSpPr txBox="1"/>
      </xdr:nvSpPr>
      <xdr:spPr>
        <a:xfrm>
          <a:off x="3533777" y="157257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46</xdr:row>
      <xdr:rowOff>790575</xdr:rowOff>
    </xdr:from>
    <xdr:to>
      <xdr:col>3</xdr:col>
      <xdr:colOff>152399</xdr:colOff>
      <xdr:row>46</xdr:row>
      <xdr:rowOff>942975</xdr:rowOff>
    </xdr:to>
    <xdr:sp macro="" textlink="">
      <xdr:nvSpPr>
        <xdr:cNvPr id="57" name="TextBox 56">
          <a:hlinkClick xmlns:r="http://schemas.openxmlformats.org/officeDocument/2006/relationships" r:id="rId39"/>
          <a:extLst>
            <a:ext uri="{FF2B5EF4-FFF2-40B4-BE49-F238E27FC236}">
              <a16:creationId xmlns:a16="http://schemas.microsoft.com/office/drawing/2014/main" id="{00000000-0008-0000-0300-000039000000}"/>
            </a:ext>
          </a:extLst>
        </xdr:cNvPr>
        <xdr:cNvSpPr txBox="1"/>
      </xdr:nvSpPr>
      <xdr:spPr>
        <a:xfrm>
          <a:off x="3533775" y="254889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200025</xdr:colOff>
          <xdr:row>1</xdr:row>
          <xdr:rowOff>95250</xdr:rowOff>
        </xdr:from>
        <xdr:to>
          <xdr:col>2</xdr:col>
          <xdr:colOff>828675</xdr:colOff>
          <xdr:row>1</xdr:row>
          <xdr:rowOff>666750</xdr:rowOff>
        </xdr:to>
        <xdr:sp macro="" textlink="">
          <xdr:nvSpPr>
            <xdr:cNvPr id="29697" name="CommandButton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xdr:row>
          <xdr:rowOff>85725</xdr:rowOff>
        </xdr:from>
        <xdr:to>
          <xdr:col>2</xdr:col>
          <xdr:colOff>809625</xdr:colOff>
          <xdr:row>2</xdr:row>
          <xdr:rowOff>647700</xdr:rowOff>
        </xdr:to>
        <xdr:sp macro="" textlink="">
          <xdr:nvSpPr>
            <xdr:cNvPr id="29698" name="CommandButton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14</xdr:row>
          <xdr:rowOff>133350</xdr:rowOff>
        </xdr:from>
        <xdr:to>
          <xdr:col>2</xdr:col>
          <xdr:colOff>800100</xdr:colOff>
          <xdr:row>14</xdr:row>
          <xdr:rowOff>695325</xdr:rowOff>
        </xdr:to>
        <xdr:sp macro="" textlink="">
          <xdr:nvSpPr>
            <xdr:cNvPr id="29699" name="CommandButton3" hidden="1">
              <a:extLst>
                <a:ext uri="{63B3BB69-23CF-44E3-9099-C40C66FF867C}">
                  <a14:compatExt spid="_x0000_s29699"/>
                </a:ext>
                <a:ext uri="{FF2B5EF4-FFF2-40B4-BE49-F238E27FC236}">
                  <a16:creationId xmlns:a16="http://schemas.microsoft.com/office/drawing/2014/main" id="{00000000-0008-0000-0400-000003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15</xdr:row>
          <xdr:rowOff>114300</xdr:rowOff>
        </xdr:from>
        <xdr:to>
          <xdr:col>2</xdr:col>
          <xdr:colOff>809625</xdr:colOff>
          <xdr:row>15</xdr:row>
          <xdr:rowOff>666750</xdr:rowOff>
        </xdr:to>
        <xdr:sp macro="" textlink="">
          <xdr:nvSpPr>
            <xdr:cNvPr id="29700" name="CommandButton4" hidden="1">
              <a:extLst>
                <a:ext uri="{63B3BB69-23CF-44E3-9099-C40C66FF867C}">
                  <a14:compatExt spid="_x0000_s29700"/>
                </a:ext>
                <a:ext uri="{FF2B5EF4-FFF2-40B4-BE49-F238E27FC236}">
                  <a16:creationId xmlns:a16="http://schemas.microsoft.com/office/drawing/2014/main" id="{00000000-0008-0000-0400-000004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503997</xdr:colOff>
      <xdr:row>0</xdr:row>
      <xdr:rowOff>55907</xdr:rowOff>
    </xdr:from>
    <xdr:to>
      <xdr:col>9</xdr:col>
      <xdr:colOff>679367</xdr:colOff>
      <xdr:row>0</xdr:row>
      <xdr:rowOff>302287</xdr:rowOff>
    </xdr:to>
    <xdr:pic>
      <xdr:nvPicPr>
        <xdr:cNvPr id="8" name="Picture 7">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0543347" y="55907"/>
          <a:ext cx="1718420" cy="246380"/>
        </a:xfrm>
        <a:prstGeom prst="rect">
          <a:avLst/>
        </a:prstGeom>
      </xdr:spPr>
    </xdr:pic>
    <xdr:clientData/>
  </xdr:twoCellAnchor>
  <xdr:twoCellAnchor>
    <xdr:from>
      <xdr:col>3</xdr:col>
      <xdr:colOff>19050</xdr:colOff>
      <xdr:row>3</xdr:row>
      <xdr:rowOff>628650</xdr:rowOff>
    </xdr:from>
    <xdr:to>
      <xdr:col>3</xdr:col>
      <xdr:colOff>161925</xdr:colOff>
      <xdr:row>3</xdr:row>
      <xdr:rowOff>781050</xdr:rowOff>
    </xdr:to>
    <xdr:sp macro="" textlink="">
      <xdr:nvSpPr>
        <xdr:cNvPr id="9" name="TextBox 8">
          <a:hlinkClick xmlns:r="http://schemas.openxmlformats.org/officeDocument/2006/relationships" r:id="rId2"/>
          <a:extLst>
            <a:ext uri="{FF2B5EF4-FFF2-40B4-BE49-F238E27FC236}">
              <a16:creationId xmlns:a16="http://schemas.microsoft.com/office/drawing/2014/main" id="{00000000-0008-0000-0400-000009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4</xdr:row>
      <xdr:rowOff>628650</xdr:rowOff>
    </xdr:from>
    <xdr:to>
      <xdr:col>3</xdr:col>
      <xdr:colOff>161925</xdr:colOff>
      <xdr:row>4</xdr:row>
      <xdr:rowOff>781050</xdr:rowOff>
    </xdr:to>
    <xdr:sp macro="" textlink="">
      <xdr:nvSpPr>
        <xdr:cNvPr id="10" name="TextBox 9">
          <a:hlinkClick xmlns:r="http://schemas.openxmlformats.org/officeDocument/2006/relationships" r:id="rId3"/>
          <a:extLst>
            <a:ext uri="{FF2B5EF4-FFF2-40B4-BE49-F238E27FC236}">
              <a16:creationId xmlns:a16="http://schemas.microsoft.com/office/drawing/2014/main" id="{00000000-0008-0000-0400-00000A000000}"/>
            </a:ext>
          </a:extLst>
        </xdr:cNvPr>
        <xdr:cNvSpPr txBox="1"/>
      </xdr:nvSpPr>
      <xdr:spPr>
        <a:xfrm>
          <a:off x="3543300" y="3381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5</xdr:row>
      <xdr:rowOff>628650</xdr:rowOff>
    </xdr:from>
    <xdr:to>
      <xdr:col>3</xdr:col>
      <xdr:colOff>161925</xdr:colOff>
      <xdr:row>5</xdr:row>
      <xdr:rowOff>781050</xdr:rowOff>
    </xdr:to>
    <xdr:sp macro="" textlink="">
      <xdr:nvSpPr>
        <xdr:cNvPr id="11" name="TextBox 10">
          <a:hlinkClick xmlns:r="http://schemas.openxmlformats.org/officeDocument/2006/relationships" r:id="rId4"/>
          <a:extLst>
            <a:ext uri="{FF2B5EF4-FFF2-40B4-BE49-F238E27FC236}">
              <a16:creationId xmlns:a16="http://schemas.microsoft.com/office/drawing/2014/main" id="{00000000-0008-0000-0400-00000B000000}"/>
            </a:ext>
          </a:extLst>
        </xdr:cNvPr>
        <xdr:cNvSpPr txBox="1"/>
      </xdr:nvSpPr>
      <xdr:spPr>
        <a:xfrm>
          <a:off x="3543300" y="4181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6</xdr:row>
      <xdr:rowOff>628650</xdr:rowOff>
    </xdr:from>
    <xdr:to>
      <xdr:col>3</xdr:col>
      <xdr:colOff>161925</xdr:colOff>
      <xdr:row>6</xdr:row>
      <xdr:rowOff>781050</xdr:rowOff>
    </xdr:to>
    <xdr:sp macro="" textlink="">
      <xdr:nvSpPr>
        <xdr:cNvPr id="12" name="TextBox 11">
          <a:hlinkClick xmlns:r="http://schemas.openxmlformats.org/officeDocument/2006/relationships" r:id="rId5"/>
          <a:extLst>
            <a:ext uri="{FF2B5EF4-FFF2-40B4-BE49-F238E27FC236}">
              <a16:creationId xmlns:a16="http://schemas.microsoft.com/office/drawing/2014/main" id="{00000000-0008-0000-0400-00000C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9</xdr:row>
      <xdr:rowOff>628650</xdr:rowOff>
    </xdr:from>
    <xdr:to>
      <xdr:col>3</xdr:col>
      <xdr:colOff>161925</xdr:colOff>
      <xdr:row>9</xdr:row>
      <xdr:rowOff>781050</xdr:rowOff>
    </xdr:to>
    <xdr:sp macro="" textlink="">
      <xdr:nvSpPr>
        <xdr:cNvPr id="13" name="TextBox 12">
          <a:hlinkClick xmlns:r="http://schemas.openxmlformats.org/officeDocument/2006/relationships" r:id="rId6"/>
          <a:extLst>
            <a:ext uri="{FF2B5EF4-FFF2-40B4-BE49-F238E27FC236}">
              <a16:creationId xmlns:a16="http://schemas.microsoft.com/office/drawing/2014/main" id="{00000000-0008-0000-0400-00000D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10</xdr:row>
      <xdr:rowOff>628650</xdr:rowOff>
    </xdr:from>
    <xdr:to>
      <xdr:col>3</xdr:col>
      <xdr:colOff>161925</xdr:colOff>
      <xdr:row>10</xdr:row>
      <xdr:rowOff>781050</xdr:rowOff>
    </xdr:to>
    <xdr:sp macro="" textlink="">
      <xdr:nvSpPr>
        <xdr:cNvPr id="14" name="TextBox 13">
          <a:hlinkClick xmlns:r="http://schemas.openxmlformats.org/officeDocument/2006/relationships" r:id="rId7"/>
          <a:extLst>
            <a:ext uri="{FF2B5EF4-FFF2-40B4-BE49-F238E27FC236}">
              <a16:creationId xmlns:a16="http://schemas.microsoft.com/office/drawing/2014/main" id="{00000000-0008-0000-0400-00000E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11</xdr:row>
      <xdr:rowOff>628650</xdr:rowOff>
    </xdr:from>
    <xdr:to>
      <xdr:col>3</xdr:col>
      <xdr:colOff>161925</xdr:colOff>
      <xdr:row>11</xdr:row>
      <xdr:rowOff>781050</xdr:rowOff>
    </xdr:to>
    <xdr:sp macro="" textlink="">
      <xdr:nvSpPr>
        <xdr:cNvPr id="15" name="TextBox 14">
          <a:hlinkClick xmlns:r="http://schemas.openxmlformats.org/officeDocument/2006/relationships" r:id="rId8"/>
          <a:extLst>
            <a:ext uri="{FF2B5EF4-FFF2-40B4-BE49-F238E27FC236}">
              <a16:creationId xmlns:a16="http://schemas.microsoft.com/office/drawing/2014/main" id="{00000000-0008-0000-0400-00000F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12</xdr:row>
      <xdr:rowOff>628650</xdr:rowOff>
    </xdr:from>
    <xdr:to>
      <xdr:col>3</xdr:col>
      <xdr:colOff>161925</xdr:colOff>
      <xdr:row>12</xdr:row>
      <xdr:rowOff>781050</xdr:rowOff>
    </xdr:to>
    <xdr:sp macro="" textlink="">
      <xdr:nvSpPr>
        <xdr:cNvPr id="16" name="TextBox 15">
          <a:hlinkClick xmlns:r="http://schemas.openxmlformats.org/officeDocument/2006/relationships" r:id="rId9"/>
          <a:extLst>
            <a:ext uri="{FF2B5EF4-FFF2-40B4-BE49-F238E27FC236}">
              <a16:creationId xmlns:a16="http://schemas.microsoft.com/office/drawing/2014/main" id="{00000000-0008-0000-0400-000010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17" name="TextBox 16">
          <a:hlinkClick xmlns:r="http://schemas.openxmlformats.org/officeDocument/2006/relationships" r:id="rId10"/>
          <a:extLst>
            <a:ext uri="{FF2B5EF4-FFF2-40B4-BE49-F238E27FC236}">
              <a16:creationId xmlns:a16="http://schemas.microsoft.com/office/drawing/2014/main" id="{00000000-0008-0000-0400-000011000000}"/>
            </a:ext>
          </a:extLst>
        </xdr:cNvPr>
        <xdr:cNvSpPr txBox="1"/>
      </xdr:nvSpPr>
      <xdr:spPr>
        <a:xfrm>
          <a:off x="3543300" y="12982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18" name="TextBox 17">
          <a:hlinkClick xmlns:r="http://schemas.openxmlformats.org/officeDocument/2006/relationships" r:id="rId11"/>
          <a:extLst>
            <a:ext uri="{FF2B5EF4-FFF2-40B4-BE49-F238E27FC236}">
              <a16:creationId xmlns:a16="http://schemas.microsoft.com/office/drawing/2014/main" id="{00000000-0008-0000-0400-000012000000}"/>
            </a:ext>
          </a:extLst>
        </xdr:cNvPr>
        <xdr:cNvSpPr txBox="1"/>
      </xdr:nvSpPr>
      <xdr:spPr>
        <a:xfrm>
          <a:off x="3543300" y="14582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22</xdr:row>
      <xdr:rowOff>628650</xdr:rowOff>
    </xdr:from>
    <xdr:to>
      <xdr:col>3</xdr:col>
      <xdr:colOff>161925</xdr:colOff>
      <xdr:row>22</xdr:row>
      <xdr:rowOff>781050</xdr:rowOff>
    </xdr:to>
    <xdr:sp macro="" textlink="">
      <xdr:nvSpPr>
        <xdr:cNvPr id="19" name="TextBox 18">
          <a:hlinkClick xmlns:r="http://schemas.openxmlformats.org/officeDocument/2006/relationships" r:id="rId12"/>
          <a:extLst>
            <a:ext uri="{FF2B5EF4-FFF2-40B4-BE49-F238E27FC236}">
              <a16:creationId xmlns:a16="http://schemas.microsoft.com/office/drawing/2014/main" id="{00000000-0008-0000-0400-000013000000}"/>
            </a:ext>
          </a:extLst>
        </xdr:cNvPr>
        <xdr:cNvSpPr txBox="1"/>
      </xdr:nvSpPr>
      <xdr:spPr>
        <a:xfrm>
          <a:off x="3543300" y="15382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23</xdr:row>
      <xdr:rowOff>628650</xdr:rowOff>
    </xdr:from>
    <xdr:to>
      <xdr:col>3</xdr:col>
      <xdr:colOff>161925</xdr:colOff>
      <xdr:row>23</xdr:row>
      <xdr:rowOff>781050</xdr:rowOff>
    </xdr:to>
    <xdr:sp macro="" textlink="">
      <xdr:nvSpPr>
        <xdr:cNvPr id="20" name="TextBox 19">
          <a:hlinkClick xmlns:r="http://schemas.openxmlformats.org/officeDocument/2006/relationships" r:id="rId13"/>
          <a:extLst>
            <a:ext uri="{FF2B5EF4-FFF2-40B4-BE49-F238E27FC236}">
              <a16:creationId xmlns:a16="http://schemas.microsoft.com/office/drawing/2014/main" id="{00000000-0008-0000-0400-000014000000}"/>
            </a:ext>
          </a:extLst>
        </xdr:cNvPr>
        <xdr:cNvSpPr txBox="1"/>
      </xdr:nvSpPr>
      <xdr:spPr>
        <a:xfrm>
          <a:off x="3543300" y="16182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24</xdr:row>
      <xdr:rowOff>628650</xdr:rowOff>
    </xdr:from>
    <xdr:to>
      <xdr:col>3</xdr:col>
      <xdr:colOff>161925</xdr:colOff>
      <xdr:row>24</xdr:row>
      <xdr:rowOff>781050</xdr:rowOff>
    </xdr:to>
    <xdr:sp macro="" textlink="">
      <xdr:nvSpPr>
        <xdr:cNvPr id="21" name="TextBox 20">
          <a:hlinkClick xmlns:r="http://schemas.openxmlformats.org/officeDocument/2006/relationships" r:id="rId14"/>
          <a:extLst>
            <a:ext uri="{FF2B5EF4-FFF2-40B4-BE49-F238E27FC236}">
              <a16:creationId xmlns:a16="http://schemas.microsoft.com/office/drawing/2014/main" id="{00000000-0008-0000-0400-000015000000}"/>
            </a:ext>
          </a:extLst>
        </xdr:cNvPr>
        <xdr:cNvSpPr txBox="1"/>
      </xdr:nvSpPr>
      <xdr:spPr>
        <a:xfrm>
          <a:off x="3543300" y="169830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25</xdr:row>
      <xdr:rowOff>628650</xdr:rowOff>
    </xdr:from>
    <xdr:to>
      <xdr:col>3</xdr:col>
      <xdr:colOff>161925</xdr:colOff>
      <xdr:row>25</xdr:row>
      <xdr:rowOff>781050</xdr:rowOff>
    </xdr:to>
    <xdr:sp macro="" textlink="">
      <xdr:nvSpPr>
        <xdr:cNvPr id="22" name="TextBox 21">
          <a:hlinkClick xmlns:r="http://schemas.openxmlformats.org/officeDocument/2006/relationships" r:id="rId15"/>
          <a:extLst>
            <a:ext uri="{FF2B5EF4-FFF2-40B4-BE49-F238E27FC236}">
              <a16:creationId xmlns:a16="http://schemas.microsoft.com/office/drawing/2014/main" id="{00000000-0008-0000-0400-000016000000}"/>
            </a:ext>
          </a:extLst>
        </xdr:cNvPr>
        <xdr:cNvSpPr txBox="1"/>
      </xdr:nvSpPr>
      <xdr:spPr>
        <a:xfrm>
          <a:off x="3543300" y="177831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26</xdr:row>
      <xdr:rowOff>628650</xdr:rowOff>
    </xdr:from>
    <xdr:to>
      <xdr:col>3</xdr:col>
      <xdr:colOff>161925</xdr:colOff>
      <xdr:row>26</xdr:row>
      <xdr:rowOff>781050</xdr:rowOff>
    </xdr:to>
    <xdr:sp macro="" textlink="">
      <xdr:nvSpPr>
        <xdr:cNvPr id="23" name="TextBox 22">
          <a:hlinkClick xmlns:r="http://schemas.openxmlformats.org/officeDocument/2006/relationships" r:id="rId16"/>
          <a:extLst>
            <a:ext uri="{FF2B5EF4-FFF2-40B4-BE49-F238E27FC236}">
              <a16:creationId xmlns:a16="http://schemas.microsoft.com/office/drawing/2014/main" id="{00000000-0008-0000-0400-000017000000}"/>
            </a:ext>
          </a:extLst>
        </xdr:cNvPr>
        <xdr:cNvSpPr txBox="1"/>
      </xdr:nvSpPr>
      <xdr:spPr>
        <a:xfrm>
          <a:off x="3543300" y="18583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27</xdr:row>
      <xdr:rowOff>628650</xdr:rowOff>
    </xdr:from>
    <xdr:to>
      <xdr:col>3</xdr:col>
      <xdr:colOff>161925</xdr:colOff>
      <xdr:row>27</xdr:row>
      <xdr:rowOff>781050</xdr:rowOff>
    </xdr:to>
    <xdr:sp macro="" textlink="">
      <xdr:nvSpPr>
        <xdr:cNvPr id="24" name="TextBox 23">
          <a:hlinkClick xmlns:r="http://schemas.openxmlformats.org/officeDocument/2006/relationships" r:id="rId17"/>
          <a:extLst>
            <a:ext uri="{FF2B5EF4-FFF2-40B4-BE49-F238E27FC236}">
              <a16:creationId xmlns:a16="http://schemas.microsoft.com/office/drawing/2014/main" id="{00000000-0008-0000-0400-000018000000}"/>
            </a:ext>
          </a:extLst>
        </xdr:cNvPr>
        <xdr:cNvSpPr txBox="1"/>
      </xdr:nvSpPr>
      <xdr:spPr>
        <a:xfrm>
          <a:off x="3543300" y="19383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28</xdr:row>
      <xdr:rowOff>628650</xdr:rowOff>
    </xdr:from>
    <xdr:to>
      <xdr:col>3</xdr:col>
      <xdr:colOff>161925</xdr:colOff>
      <xdr:row>28</xdr:row>
      <xdr:rowOff>781050</xdr:rowOff>
    </xdr:to>
    <xdr:sp macro="" textlink="">
      <xdr:nvSpPr>
        <xdr:cNvPr id="25" name="TextBox 24">
          <a:hlinkClick xmlns:r="http://schemas.openxmlformats.org/officeDocument/2006/relationships" r:id="rId18"/>
          <a:extLst>
            <a:ext uri="{FF2B5EF4-FFF2-40B4-BE49-F238E27FC236}">
              <a16:creationId xmlns:a16="http://schemas.microsoft.com/office/drawing/2014/main" id="{00000000-0008-0000-0400-000019000000}"/>
            </a:ext>
          </a:extLst>
        </xdr:cNvPr>
        <xdr:cNvSpPr txBox="1"/>
      </xdr:nvSpPr>
      <xdr:spPr>
        <a:xfrm>
          <a:off x="3543300" y="20183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31</xdr:row>
      <xdr:rowOff>628650</xdr:rowOff>
    </xdr:from>
    <xdr:to>
      <xdr:col>3</xdr:col>
      <xdr:colOff>161925</xdr:colOff>
      <xdr:row>31</xdr:row>
      <xdr:rowOff>781050</xdr:rowOff>
    </xdr:to>
    <xdr:sp macro="" textlink="">
      <xdr:nvSpPr>
        <xdr:cNvPr id="26" name="TextBox 25">
          <a:hlinkClick xmlns:r="http://schemas.openxmlformats.org/officeDocument/2006/relationships" r:id="rId19"/>
          <a:extLst>
            <a:ext uri="{FF2B5EF4-FFF2-40B4-BE49-F238E27FC236}">
              <a16:creationId xmlns:a16="http://schemas.microsoft.com/office/drawing/2014/main" id="{00000000-0008-0000-0400-00001A000000}"/>
            </a:ext>
          </a:extLst>
        </xdr:cNvPr>
        <xdr:cNvSpPr txBox="1"/>
      </xdr:nvSpPr>
      <xdr:spPr>
        <a:xfrm>
          <a:off x="3543300" y="22583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27" name="TextBox 26">
          <a:hlinkClick xmlns:r="http://schemas.openxmlformats.org/officeDocument/2006/relationships" r:id="rId20"/>
          <a:extLst>
            <a:ext uri="{FF2B5EF4-FFF2-40B4-BE49-F238E27FC236}">
              <a16:creationId xmlns:a16="http://schemas.microsoft.com/office/drawing/2014/main" id="{00000000-0008-0000-0400-00001B000000}"/>
            </a:ext>
          </a:extLst>
        </xdr:cNvPr>
        <xdr:cNvSpPr txBox="1"/>
      </xdr:nvSpPr>
      <xdr:spPr>
        <a:xfrm>
          <a:off x="3543302" y="113823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29</xdr:row>
      <xdr:rowOff>628650</xdr:rowOff>
    </xdr:from>
    <xdr:to>
      <xdr:col>3</xdr:col>
      <xdr:colOff>161926</xdr:colOff>
      <xdr:row>29</xdr:row>
      <xdr:rowOff>781050</xdr:rowOff>
    </xdr:to>
    <xdr:sp macro="" textlink="">
      <xdr:nvSpPr>
        <xdr:cNvPr id="28" name="TextBox 27">
          <a:hlinkClick xmlns:r="http://schemas.openxmlformats.org/officeDocument/2006/relationships" r:id="rId21"/>
          <a:extLst>
            <a:ext uri="{FF2B5EF4-FFF2-40B4-BE49-F238E27FC236}">
              <a16:creationId xmlns:a16="http://schemas.microsoft.com/office/drawing/2014/main" id="{00000000-0008-0000-0400-00001C000000}"/>
            </a:ext>
          </a:extLst>
        </xdr:cNvPr>
        <xdr:cNvSpPr txBox="1"/>
      </xdr:nvSpPr>
      <xdr:spPr>
        <a:xfrm>
          <a:off x="3543302" y="209835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39" name="TextBox 38">
          <a:hlinkClick xmlns:r="http://schemas.openxmlformats.org/officeDocument/2006/relationships" r:id="rId22"/>
          <a:extLst>
            <a:ext uri="{FF2B5EF4-FFF2-40B4-BE49-F238E27FC236}">
              <a16:creationId xmlns:a16="http://schemas.microsoft.com/office/drawing/2014/main" id="{00000000-0008-0000-0400-000027000000}"/>
            </a:ext>
          </a:extLst>
        </xdr:cNvPr>
        <xdr:cNvSpPr txBox="1"/>
      </xdr:nvSpPr>
      <xdr:spPr>
        <a:xfrm>
          <a:off x="3543300" y="13782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7</xdr:row>
      <xdr:rowOff>628650</xdr:rowOff>
    </xdr:from>
    <xdr:to>
      <xdr:col>3</xdr:col>
      <xdr:colOff>161925</xdr:colOff>
      <xdr:row>7</xdr:row>
      <xdr:rowOff>781050</xdr:rowOff>
    </xdr:to>
    <xdr:sp macro="" textlink="">
      <xdr:nvSpPr>
        <xdr:cNvPr id="40" name="TextBox 39">
          <a:hlinkClick xmlns:r="http://schemas.openxmlformats.org/officeDocument/2006/relationships" r:id="rId23"/>
          <a:extLst>
            <a:ext uri="{FF2B5EF4-FFF2-40B4-BE49-F238E27FC236}">
              <a16:creationId xmlns:a16="http://schemas.microsoft.com/office/drawing/2014/main" id="{00000000-0008-0000-0400-000028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8</xdr:row>
      <xdr:rowOff>628650</xdr:rowOff>
    </xdr:from>
    <xdr:to>
      <xdr:col>3</xdr:col>
      <xdr:colOff>161925</xdr:colOff>
      <xdr:row>8</xdr:row>
      <xdr:rowOff>781050</xdr:rowOff>
    </xdr:to>
    <xdr:sp macro="" textlink="">
      <xdr:nvSpPr>
        <xdr:cNvPr id="41" name="TextBox 40">
          <a:hlinkClick xmlns:r="http://schemas.openxmlformats.org/officeDocument/2006/relationships" r:id="rId24"/>
          <a:extLst>
            <a:ext uri="{FF2B5EF4-FFF2-40B4-BE49-F238E27FC236}">
              <a16:creationId xmlns:a16="http://schemas.microsoft.com/office/drawing/2014/main" id="{00000000-0008-0000-0400-000029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42" name="TextBox 41">
          <a:hlinkClick xmlns:r="http://schemas.openxmlformats.org/officeDocument/2006/relationships" r:id="rId11"/>
          <a:extLst>
            <a:ext uri="{FF2B5EF4-FFF2-40B4-BE49-F238E27FC236}">
              <a16:creationId xmlns:a16="http://schemas.microsoft.com/office/drawing/2014/main" id="{00000000-0008-0000-0400-00002A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43" name="TextBox 42">
          <a:hlinkClick xmlns:r="http://schemas.openxmlformats.org/officeDocument/2006/relationships" r:id="rId25"/>
          <a:extLst>
            <a:ext uri="{FF2B5EF4-FFF2-40B4-BE49-F238E27FC236}">
              <a16:creationId xmlns:a16="http://schemas.microsoft.com/office/drawing/2014/main" id="{00000000-0008-0000-0400-00002B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44" name="TextBox 43">
          <a:hlinkClick xmlns:r="http://schemas.openxmlformats.org/officeDocument/2006/relationships" r:id="rId10"/>
          <a:extLst>
            <a:ext uri="{FF2B5EF4-FFF2-40B4-BE49-F238E27FC236}">
              <a16:creationId xmlns:a16="http://schemas.microsoft.com/office/drawing/2014/main" id="{00000000-0008-0000-0400-00002C000000}"/>
            </a:ext>
          </a:extLst>
        </xdr:cNvPr>
        <xdr:cNvSpPr txBox="1"/>
      </xdr:nvSpPr>
      <xdr:spPr>
        <a:xfrm>
          <a:off x="3543302" y="41814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5" name="TextBox 44">
          <a:hlinkClick xmlns:r="http://schemas.openxmlformats.org/officeDocument/2006/relationships" r:id="rId26"/>
          <a:extLst>
            <a:ext uri="{FF2B5EF4-FFF2-40B4-BE49-F238E27FC236}">
              <a16:creationId xmlns:a16="http://schemas.microsoft.com/office/drawing/2014/main" id="{00000000-0008-0000-0400-00002D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21</xdr:row>
      <xdr:rowOff>628650</xdr:rowOff>
    </xdr:from>
    <xdr:to>
      <xdr:col>3</xdr:col>
      <xdr:colOff>161925</xdr:colOff>
      <xdr:row>21</xdr:row>
      <xdr:rowOff>781050</xdr:rowOff>
    </xdr:to>
    <xdr:sp macro="" textlink="">
      <xdr:nvSpPr>
        <xdr:cNvPr id="46" name="TextBox 45">
          <a:hlinkClick xmlns:r="http://schemas.openxmlformats.org/officeDocument/2006/relationships" r:id="rId27"/>
          <a:extLst>
            <a:ext uri="{FF2B5EF4-FFF2-40B4-BE49-F238E27FC236}">
              <a16:creationId xmlns:a16="http://schemas.microsoft.com/office/drawing/2014/main" id="{00000000-0008-0000-0400-00002E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35</xdr:row>
      <xdr:rowOff>790575</xdr:rowOff>
    </xdr:from>
    <xdr:to>
      <xdr:col>3</xdr:col>
      <xdr:colOff>161926</xdr:colOff>
      <xdr:row>35</xdr:row>
      <xdr:rowOff>942975</xdr:rowOff>
    </xdr:to>
    <xdr:sp macro="" textlink="">
      <xdr:nvSpPr>
        <xdr:cNvPr id="47" name="TextBox 46">
          <a:hlinkClick xmlns:r="http://schemas.openxmlformats.org/officeDocument/2006/relationships" r:id="rId28"/>
          <a:extLst>
            <a:ext uri="{FF2B5EF4-FFF2-40B4-BE49-F238E27FC236}">
              <a16:creationId xmlns:a16="http://schemas.microsoft.com/office/drawing/2014/main" id="{00000000-0008-0000-0400-00002F000000}"/>
            </a:ext>
          </a:extLst>
        </xdr:cNvPr>
        <xdr:cNvSpPr txBox="1"/>
      </xdr:nvSpPr>
      <xdr:spPr>
        <a:xfrm>
          <a:off x="3543302" y="61055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37</xdr:row>
      <xdr:rowOff>790577</xdr:rowOff>
    </xdr:from>
    <xdr:to>
      <xdr:col>3</xdr:col>
      <xdr:colOff>161925</xdr:colOff>
      <xdr:row>37</xdr:row>
      <xdr:rowOff>942975</xdr:rowOff>
    </xdr:to>
    <xdr:sp macro="" textlink="">
      <xdr:nvSpPr>
        <xdr:cNvPr id="48" name="TextBox 47">
          <a:hlinkClick xmlns:r="http://schemas.openxmlformats.org/officeDocument/2006/relationships" r:id="rId29"/>
          <a:extLst>
            <a:ext uri="{FF2B5EF4-FFF2-40B4-BE49-F238E27FC236}">
              <a16:creationId xmlns:a16="http://schemas.microsoft.com/office/drawing/2014/main" id="{00000000-0008-0000-0400-000030000000}"/>
            </a:ext>
          </a:extLst>
        </xdr:cNvPr>
        <xdr:cNvSpPr txBox="1"/>
      </xdr:nvSpPr>
      <xdr:spPr>
        <a:xfrm>
          <a:off x="3533775" y="8029577"/>
          <a:ext cx="152400" cy="15239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34</xdr:row>
      <xdr:rowOff>790575</xdr:rowOff>
    </xdr:from>
    <xdr:to>
      <xdr:col>3</xdr:col>
      <xdr:colOff>152401</xdr:colOff>
      <xdr:row>34</xdr:row>
      <xdr:rowOff>942975</xdr:rowOff>
    </xdr:to>
    <xdr:sp macro="" textlink="">
      <xdr:nvSpPr>
        <xdr:cNvPr id="49" name="TextBox 48">
          <a:hlinkClick xmlns:r="http://schemas.openxmlformats.org/officeDocument/2006/relationships" r:id="rId30"/>
          <a:extLst>
            <a:ext uri="{FF2B5EF4-FFF2-40B4-BE49-F238E27FC236}">
              <a16:creationId xmlns:a16="http://schemas.microsoft.com/office/drawing/2014/main" id="{00000000-0008-0000-0400-000031000000}"/>
            </a:ext>
          </a:extLst>
        </xdr:cNvPr>
        <xdr:cNvSpPr txBox="1"/>
      </xdr:nvSpPr>
      <xdr:spPr>
        <a:xfrm>
          <a:off x="3533777" y="51435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36</xdr:row>
      <xdr:rowOff>790575</xdr:rowOff>
    </xdr:from>
    <xdr:to>
      <xdr:col>3</xdr:col>
      <xdr:colOff>161926</xdr:colOff>
      <xdr:row>36</xdr:row>
      <xdr:rowOff>942975</xdr:rowOff>
    </xdr:to>
    <xdr:sp macro="" textlink="">
      <xdr:nvSpPr>
        <xdr:cNvPr id="50" name="TextBox 49">
          <a:hlinkClick xmlns:r="http://schemas.openxmlformats.org/officeDocument/2006/relationships" r:id="rId31"/>
          <a:extLst>
            <a:ext uri="{FF2B5EF4-FFF2-40B4-BE49-F238E27FC236}">
              <a16:creationId xmlns:a16="http://schemas.microsoft.com/office/drawing/2014/main" id="{00000000-0008-0000-0400-000032000000}"/>
            </a:ext>
          </a:extLst>
        </xdr:cNvPr>
        <xdr:cNvSpPr txBox="1"/>
      </xdr:nvSpPr>
      <xdr:spPr>
        <a:xfrm>
          <a:off x="3543302" y="70675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39</xdr:row>
      <xdr:rowOff>790575</xdr:rowOff>
    </xdr:from>
    <xdr:to>
      <xdr:col>3</xdr:col>
      <xdr:colOff>152401</xdr:colOff>
      <xdr:row>39</xdr:row>
      <xdr:rowOff>942975</xdr:rowOff>
    </xdr:to>
    <xdr:sp macro="" textlink="">
      <xdr:nvSpPr>
        <xdr:cNvPr id="51" name="TextBox 50">
          <a:hlinkClick xmlns:r="http://schemas.openxmlformats.org/officeDocument/2006/relationships" r:id="rId32"/>
          <a:extLst>
            <a:ext uri="{FF2B5EF4-FFF2-40B4-BE49-F238E27FC236}">
              <a16:creationId xmlns:a16="http://schemas.microsoft.com/office/drawing/2014/main" id="{00000000-0008-0000-0400-000033000000}"/>
            </a:ext>
          </a:extLst>
        </xdr:cNvPr>
        <xdr:cNvSpPr txBox="1"/>
      </xdr:nvSpPr>
      <xdr:spPr>
        <a:xfrm>
          <a:off x="3533777" y="99536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40</xdr:row>
      <xdr:rowOff>790575</xdr:rowOff>
    </xdr:from>
    <xdr:to>
      <xdr:col>3</xdr:col>
      <xdr:colOff>161926</xdr:colOff>
      <xdr:row>40</xdr:row>
      <xdr:rowOff>942975</xdr:rowOff>
    </xdr:to>
    <xdr:sp macro="" textlink="">
      <xdr:nvSpPr>
        <xdr:cNvPr id="52" name="TextBox 51">
          <a:hlinkClick xmlns:r="http://schemas.openxmlformats.org/officeDocument/2006/relationships" r:id="rId33"/>
          <a:extLst>
            <a:ext uri="{FF2B5EF4-FFF2-40B4-BE49-F238E27FC236}">
              <a16:creationId xmlns:a16="http://schemas.microsoft.com/office/drawing/2014/main" id="{00000000-0008-0000-0400-000034000000}"/>
            </a:ext>
          </a:extLst>
        </xdr:cNvPr>
        <xdr:cNvSpPr txBox="1"/>
      </xdr:nvSpPr>
      <xdr:spPr>
        <a:xfrm>
          <a:off x="3543302" y="109156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41</xdr:row>
      <xdr:rowOff>790575</xdr:rowOff>
    </xdr:from>
    <xdr:to>
      <xdr:col>3</xdr:col>
      <xdr:colOff>152401</xdr:colOff>
      <xdr:row>41</xdr:row>
      <xdr:rowOff>942975</xdr:rowOff>
    </xdr:to>
    <xdr:sp macro="" textlink="">
      <xdr:nvSpPr>
        <xdr:cNvPr id="53" name="TextBox 52">
          <a:hlinkClick xmlns:r="http://schemas.openxmlformats.org/officeDocument/2006/relationships" r:id="rId34"/>
          <a:extLst>
            <a:ext uri="{FF2B5EF4-FFF2-40B4-BE49-F238E27FC236}">
              <a16:creationId xmlns:a16="http://schemas.microsoft.com/office/drawing/2014/main" id="{00000000-0008-0000-0400-000035000000}"/>
            </a:ext>
          </a:extLst>
        </xdr:cNvPr>
        <xdr:cNvSpPr txBox="1"/>
      </xdr:nvSpPr>
      <xdr:spPr>
        <a:xfrm>
          <a:off x="3533777" y="118776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42</xdr:row>
      <xdr:rowOff>790575</xdr:rowOff>
    </xdr:from>
    <xdr:to>
      <xdr:col>3</xdr:col>
      <xdr:colOff>161926</xdr:colOff>
      <xdr:row>42</xdr:row>
      <xdr:rowOff>942975</xdr:rowOff>
    </xdr:to>
    <xdr:sp macro="" textlink="">
      <xdr:nvSpPr>
        <xdr:cNvPr id="54" name="TextBox 53">
          <a:hlinkClick xmlns:r="http://schemas.openxmlformats.org/officeDocument/2006/relationships" r:id="rId35"/>
          <a:extLst>
            <a:ext uri="{FF2B5EF4-FFF2-40B4-BE49-F238E27FC236}">
              <a16:creationId xmlns:a16="http://schemas.microsoft.com/office/drawing/2014/main" id="{00000000-0008-0000-0400-000036000000}"/>
            </a:ext>
          </a:extLst>
        </xdr:cNvPr>
        <xdr:cNvSpPr txBox="1"/>
      </xdr:nvSpPr>
      <xdr:spPr>
        <a:xfrm>
          <a:off x="3543302" y="128397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44</xdr:row>
      <xdr:rowOff>790575</xdr:rowOff>
    </xdr:from>
    <xdr:to>
      <xdr:col>3</xdr:col>
      <xdr:colOff>152401</xdr:colOff>
      <xdr:row>44</xdr:row>
      <xdr:rowOff>942975</xdr:rowOff>
    </xdr:to>
    <xdr:sp macro="" textlink="">
      <xdr:nvSpPr>
        <xdr:cNvPr id="55" name="TextBox 54">
          <a:hlinkClick xmlns:r="http://schemas.openxmlformats.org/officeDocument/2006/relationships" r:id="rId36"/>
          <a:extLst>
            <a:ext uri="{FF2B5EF4-FFF2-40B4-BE49-F238E27FC236}">
              <a16:creationId xmlns:a16="http://schemas.microsoft.com/office/drawing/2014/main" id="{00000000-0008-0000-0400-000037000000}"/>
            </a:ext>
          </a:extLst>
        </xdr:cNvPr>
        <xdr:cNvSpPr txBox="1"/>
      </xdr:nvSpPr>
      <xdr:spPr>
        <a:xfrm>
          <a:off x="3533777" y="147637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43</xdr:row>
      <xdr:rowOff>790575</xdr:rowOff>
    </xdr:from>
    <xdr:to>
      <xdr:col>3</xdr:col>
      <xdr:colOff>152401</xdr:colOff>
      <xdr:row>43</xdr:row>
      <xdr:rowOff>942975</xdr:rowOff>
    </xdr:to>
    <xdr:sp macro="" textlink="">
      <xdr:nvSpPr>
        <xdr:cNvPr id="56" name="TextBox 55">
          <a:hlinkClick xmlns:r="http://schemas.openxmlformats.org/officeDocument/2006/relationships" r:id="rId37"/>
          <a:extLst>
            <a:ext uri="{FF2B5EF4-FFF2-40B4-BE49-F238E27FC236}">
              <a16:creationId xmlns:a16="http://schemas.microsoft.com/office/drawing/2014/main" id="{00000000-0008-0000-0400-000038000000}"/>
            </a:ext>
          </a:extLst>
        </xdr:cNvPr>
        <xdr:cNvSpPr txBox="1"/>
      </xdr:nvSpPr>
      <xdr:spPr>
        <a:xfrm>
          <a:off x="3533777" y="138017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45</xdr:row>
      <xdr:rowOff>790575</xdr:rowOff>
    </xdr:from>
    <xdr:to>
      <xdr:col>3</xdr:col>
      <xdr:colOff>152401</xdr:colOff>
      <xdr:row>45</xdr:row>
      <xdr:rowOff>942975</xdr:rowOff>
    </xdr:to>
    <xdr:sp macro="" textlink="">
      <xdr:nvSpPr>
        <xdr:cNvPr id="57" name="TextBox 56">
          <a:hlinkClick xmlns:r="http://schemas.openxmlformats.org/officeDocument/2006/relationships" r:id="rId38"/>
          <a:extLst>
            <a:ext uri="{FF2B5EF4-FFF2-40B4-BE49-F238E27FC236}">
              <a16:creationId xmlns:a16="http://schemas.microsoft.com/office/drawing/2014/main" id="{00000000-0008-0000-0400-000039000000}"/>
            </a:ext>
          </a:extLst>
        </xdr:cNvPr>
        <xdr:cNvSpPr txBox="1"/>
      </xdr:nvSpPr>
      <xdr:spPr>
        <a:xfrm>
          <a:off x="3533777" y="157257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46</xdr:row>
      <xdr:rowOff>790575</xdr:rowOff>
    </xdr:from>
    <xdr:to>
      <xdr:col>3</xdr:col>
      <xdr:colOff>152399</xdr:colOff>
      <xdr:row>46</xdr:row>
      <xdr:rowOff>942975</xdr:rowOff>
    </xdr:to>
    <xdr:sp macro="" textlink="">
      <xdr:nvSpPr>
        <xdr:cNvPr id="58" name="TextBox 57">
          <a:hlinkClick xmlns:r="http://schemas.openxmlformats.org/officeDocument/2006/relationships" r:id="rId39"/>
          <a:extLst>
            <a:ext uri="{FF2B5EF4-FFF2-40B4-BE49-F238E27FC236}">
              <a16:creationId xmlns:a16="http://schemas.microsoft.com/office/drawing/2014/main" id="{00000000-0008-0000-0400-00003A000000}"/>
            </a:ext>
          </a:extLst>
        </xdr:cNvPr>
        <xdr:cNvSpPr txBox="1"/>
      </xdr:nvSpPr>
      <xdr:spPr>
        <a:xfrm>
          <a:off x="3533775" y="254889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200025</xdr:colOff>
          <xdr:row>1</xdr:row>
          <xdr:rowOff>95250</xdr:rowOff>
        </xdr:from>
        <xdr:to>
          <xdr:col>2</xdr:col>
          <xdr:colOff>828675</xdr:colOff>
          <xdr:row>1</xdr:row>
          <xdr:rowOff>666750</xdr:rowOff>
        </xdr:to>
        <xdr:sp macro="" textlink="">
          <xdr:nvSpPr>
            <xdr:cNvPr id="30721" name="CommandButton1"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xdr:row>
          <xdr:rowOff>85725</xdr:rowOff>
        </xdr:from>
        <xdr:to>
          <xdr:col>2</xdr:col>
          <xdr:colOff>809625</xdr:colOff>
          <xdr:row>2</xdr:row>
          <xdr:rowOff>647700</xdr:rowOff>
        </xdr:to>
        <xdr:sp macro="" textlink="">
          <xdr:nvSpPr>
            <xdr:cNvPr id="30722" name="CommandButton2"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14</xdr:row>
          <xdr:rowOff>133350</xdr:rowOff>
        </xdr:from>
        <xdr:to>
          <xdr:col>2</xdr:col>
          <xdr:colOff>800100</xdr:colOff>
          <xdr:row>14</xdr:row>
          <xdr:rowOff>695325</xdr:rowOff>
        </xdr:to>
        <xdr:sp macro="" textlink="">
          <xdr:nvSpPr>
            <xdr:cNvPr id="30723" name="CommandButton3"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15</xdr:row>
          <xdr:rowOff>114300</xdr:rowOff>
        </xdr:from>
        <xdr:to>
          <xdr:col>2</xdr:col>
          <xdr:colOff>809625</xdr:colOff>
          <xdr:row>15</xdr:row>
          <xdr:rowOff>666750</xdr:rowOff>
        </xdr:to>
        <xdr:sp macro="" textlink="">
          <xdr:nvSpPr>
            <xdr:cNvPr id="30724" name="CommandButton4"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503997</xdr:colOff>
      <xdr:row>0</xdr:row>
      <xdr:rowOff>55907</xdr:rowOff>
    </xdr:from>
    <xdr:to>
      <xdr:col>9</xdr:col>
      <xdr:colOff>679367</xdr:colOff>
      <xdr:row>0</xdr:row>
      <xdr:rowOff>302287</xdr:rowOff>
    </xdr:to>
    <xdr:pic>
      <xdr:nvPicPr>
        <xdr:cNvPr id="9" name="Picture 8">
          <a:extLst>
            <a:ext uri="{FF2B5EF4-FFF2-40B4-BE49-F238E27FC236}">
              <a16:creationId xmlns:a16="http://schemas.microsoft.com/office/drawing/2014/main" id="{00000000-0008-0000-0500-000009000000}"/>
            </a:ext>
          </a:extLst>
        </xdr:cNvPr>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0543347" y="55907"/>
          <a:ext cx="1718420" cy="246380"/>
        </a:xfrm>
        <a:prstGeom prst="rect">
          <a:avLst/>
        </a:prstGeom>
      </xdr:spPr>
    </xdr:pic>
    <xdr:clientData/>
  </xdr:twoCellAnchor>
  <xdr:twoCellAnchor>
    <xdr:from>
      <xdr:col>3</xdr:col>
      <xdr:colOff>19050</xdr:colOff>
      <xdr:row>3</xdr:row>
      <xdr:rowOff>628650</xdr:rowOff>
    </xdr:from>
    <xdr:to>
      <xdr:col>3</xdr:col>
      <xdr:colOff>161925</xdr:colOff>
      <xdr:row>3</xdr:row>
      <xdr:rowOff>781050</xdr:rowOff>
    </xdr:to>
    <xdr:sp macro="" textlink="">
      <xdr:nvSpPr>
        <xdr:cNvPr id="10" name="TextBox 9">
          <a:hlinkClick xmlns:r="http://schemas.openxmlformats.org/officeDocument/2006/relationships" r:id="rId2"/>
          <a:extLst>
            <a:ext uri="{FF2B5EF4-FFF2-40B4-BE49-F238E27FC236}">
              <a16:creationId xmlns:a16="http://schemas.microsoft.com/office/drawing/2014/main" id="{00000000-0008-0000-0500-00000A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4</xdr:row>
      <xdr:rowOff>628650</xdr:rowOff>
    </xdr:from>
    <xdr:to>
      <xdr:col>3</xdr:col>
      <xdr:colOff>161925</xdr:colOff>
      <xdr:row>4</xdr:row>
      <xdr:rowOff>781050</xdr:rowOff>
    </xdr:to>
    <xdr:sp macro="" textlink="">
      <xdr:nvSpPr>
        <xdr:cNvPr id="11" name="TextBox 10">
          <a:hlinkClick xmlns:r="http://schemas.openxmlformats.org/officeDocument/2006/relationships" r:id="rId3"/>
          <a:extLst>
            <a:ext uri="{FF2B5EF4-FFF2-40B4-BE49-F238E27FC236}">
              <a16:creationId xmlns:a16="http://schemas.microsoft.com/office/drawing/2014/main" id="{00000000-0008-0000-0500-00000B000000}"/>
            </a:ext>
          </a:extLst>
        </xdr:cNvPr>
        <xdr:cNvSpPr txBox="1"/>
      </xdr:nvSpPr>
      <xdr:spPr>
        <a:xfrm>
          <a:off x="3543300" y="3381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5</xdr:row>
      <xdr:rowOff>628650</xdr:rowOff>
    </xdr:from>
    <xdr:to>
      <xdr:col>3</xdr:col>
      <xdr:colOff>161925</xdr:colOff>
      <xdr:row>5</xdr:row>
      <xdr:rowOff>781050</xdr:rowOff>
    </xdr:to>
    <xdr:sp macro="" textlink="">
      <xdr:nvSpPr>
        <xdr:cNvPr id="12" name="TextBox 11">
          <a:hlinkClick xmlns:r="http://schemas.openxmlformats.org/officeDocument/2006/relationships" r:id="rId4"/>
          <a:extLst>
            <a:ext uri="{FF2B5EF4-FFF2-40B4-BE49-F238E27FC236}">
              <a16:creationId xmlns:a16="http://schemas.microsoft.com/office/drawing/2014/main" id="{00000000-0008-0000-0500-00000C000000}"/>
            </a:ext>
          </a:extLst>
        </xdr:cNvPr>
        <xdr:cNvSpPr txBox="1"/>
      </xdr:nvSpPr>
      <xdr:spPr>
        <a:xfrm>
          <a:off x="3543300" y="4181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6</xdr:row>
      <xdr:rowOff>628650</xdr:rowOff>
    </xdr:from>
    <xdr:to>
      <xdr:col>3</xdr:col>
      <xdr:colOff>161925</xdr:colOff>
      <xdr:row>6</xdr:row>
      <xdr:rowOff>781050</xdr:rowOff>
    </xdr:to>
    <xdr:sp macro="" textlink="">
      <xdr:nvSpPr>
        <xdr:cNvPr id="13" name="TextBox 12">
          <a:hlinkClick xmlns:r="http://schemas.openxmlformats.org/officeDocument/2006/relationships" r:id="rId5"/>
          <a:extLst>
            <a:ext uri="{FF2B5EF4-FFF2-40B4-BE49-F238E27FC236}">
              <a16:creationId xmlns:a16="http://schemas.microsoft.com/office/drawing/2014/main" id="{00000000-0008-0000-0500-00000D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9</xdr:row>
      <xdr:rowOff>628650</xdr:rowOff>
    </xdr:from>
    <xdr:to>
      <xdr:col>3</xdr:col>
      <xdr:colOff>161925</xdr:colOff>
      <xdr:row>9</xdr:row>
      <xdr:rowOff>781050</xdr:rowOff>
    </xdr:to>
    <xdr:sp macro="" textlink="">
      <xdr:nvSpPr>
        <xdr:cNvPr id="14" name="TextBox 13">
          <a:hlinkClick xmlns:r="http://schemas.openxmlformats.org/officeDocument/2006/relationships" r:id="rId6"/>
          <a:extLst>
            <a:ext uri="{FF2B5EF4-FFF2-40B4-BE49-F238E27FC236}">
              <a16:creationId xmlns:a16="http://schemas.microsoft.com/office/drawing/2014/main" id="{00000000-0008-0000-0500-00000E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10</xdr:row>
      <xdr:rowOff>628650</xdr:rowOff>
    </xdr:from>
    <xdr:to>
      <xdr:col>3</xdr:col>
      <xdr:colOff>161925</xdr:colOff>
      <xdr:row>10</xdr:row>
      <xdr:rowOff>781050</xdr:rowOff>
    </xdr:to>
    <xdr:sp macro="" textlink="">
      <xdr:nvSpPr>
        <xdr:cNvPr id="15" name="TextBox 14">
          <a:hlinkClick xmlns:r="http://schemas.openxmlformats.org/officeDocument/2006/relationships" r:id="rId7"/>
          <a:extLst>
            <a:ext uri="{FF2B5EF4-FFF2-40B4-BE49-F238E27FC236}">
              <a16:creationId xmlns:a16="http://schemas.microsoft.com/office/drawing/2014/main" id="{00000000-0008-0000-0500-00000F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11</xdr:row>
      <xdr:rowOff>628650</xdr:rowOff>
    </xdr:from>
    <xdr:to>
      <xdr:col>3</xdr:col>
      <xdr:colOff>161925</xdr:colOff>
      <xdr:row>11</xdr:row>
      <xdr:rowOff>781050</xdr:rowOff>
    </xdr:to>
    <xdr:sp macro="" textlink="">
      <xdr:nvSpPr>
        <xdr:cNvPr id="16" name="TextBox 15">
          <a:hlinkClick xmlns:r="http://schemas.openxmlformats.org/officeDocument/2006/relationships" r:id="rId8"/>
          <a:extLst>
            <a:ext uri="{FF2B5EF4-FFF2-40B4-BE49-F238E27FC236}">
              <a16:creationId xmlns:a16="http://schemas.microsoft.com/office/drawing/2014/main" id="{00000000-0008-0000-0500-000010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12</xdr:row>
      <xdr:rowOff>628650</xdr:rowOff>
    </xdr:from>
    <xdr:to>
      <xdr:col>3</xdr:col>
      <xdr:colOff>161925</xdr:colOff>
      <xdr:row>12</xdr:row>
      <xdr:rowOff>781050</xdr:rowOff>
    </xdr:to>
    <xdr:sp macro="" textlink="">
      <xdr:nvSpPr>
        <xdr:cNvPr id="17" name="TextBox 16">
          <a:hlinkClick xmlns:r="http://schemas.openxmlformats.org/officeDocument/2006/relationships" r:id="rId9"/>
          <a:extLst>
            <a:ext uri="{FF2B5EF4-FFF2-40B4-BE49-F238E27FC236}">
              <a16:creationId xmlns:a16="http://schemas.microsoft.com/office/drawing/2014/main" id="{00000000-0008-0000-0500-000011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18" name="TextBox 17">
          <a:hlinkClick xmlns:r="http://schemas.openxmlformats.org/officeDocument/2006/relationships" r:id="rId10"/>
          <a:extLst>
            <a:ext uri="{FF2B5EF4-FFF2-40B4-BE49-F238E27FC236}">
              <a16:creationId xmlns:a16="http://schemas.microsoft.com/office/drawing/2014/main" id="{00000000-0008-0000-0500-000012000000}"/>
            </a:ext>
          </a:extLst>
        </xdr:cNvPr>
        <xdr:cNvSpPr txBox="1"/>
      </xdr:nvSpPr>
      <xdr:spPr>
        <a:xfrm>
          <a:off x="3543300" y="12982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19" name="TextBox 18">
          <a:hlinkClick xmlns:r="http://schemas.openxmlformats.org/officeDocument/2006/relationships" r:id="rId11"/>
          <a:extLst>
            <a:ext uri="{FF2B5EF4-FFF2-40B4-BE49-F238E27FC236}">
              <a16:creationId xmlns:a16="http://schemas.microsoft.com/office/drawing/2014/main" id="{00000000-0008-0000-0500-000013000000}"/>
            </a:ext>
          </a:extLst>
        </xdr:cNvPr>
        <xdr:cNvSpPr txBox="1"/>
      </xdr:nvSpPr>
      <xdr:spPr>
        <a:xfrm>
          <a:off x="3543300" y="14582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22</xdr:row>
      <xdr:rowOff>628650</xdr:rowOff>
    </xdr:from>
    <xdr:to>
      <xdr:col>3</xdr:col>
      <xdr:colOff>161925</xdr:colOff>
      <xdr:row>22</xdr:row>
      <xdr:rowOff>781050</xdr:rowOff>
    </xdr:to>
    <xdr:sp macro="" textlink="">
      <xdr:nvSpPr>
        <xdr:cNvPr id="20" name="TextBox 19">
          <a:hlinkClick xmlns:r="http://schemas.openxmlformats.org/officeDocument/2006/relationships" r:id="rId12"/>
          <a:extLst>
            <a:ext uri="{FF2B5EF4-FFF2-40B4-BE49-F238E27FC236}">
              <a16:creationId xmlns:a16="http://schemas.microsoft.com/office/drawing/2014/main" id="{00000000-0008-0000-0500-000014000000}"/>
            </a:ext>
          </a:extLst>
        </xdr:cNvPr>
        <xdr:cNvSpPr txBox="1"/>
      </xdr:nvSpPr>
      <xdr:spPr>
        <a:xfrm>
          <a:off x="3543300" y="15382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23</xdr:row>
      <xdr:rowOff>628650</xdr:rowOff>
    </xdr:from>
    <xdr:to>
      <xdr:col>3</xdr:col>
      <xdr:colOff>161925</xdr:colOff>
      <xdr:row>23</xdr:row>
      <xdr:rowOff>781050</xdr:rowOff>
    </xdr:to>
    <xdr:sp macro="" textlink="">
      <xdr:nvSpPr>
        <xdr:cNvPr id="21" name="TextBox 20">
          <a:hlinkClick xmlns:r="http://schemas.openxmlformats.org/officeDocument/2006/relationships" r:id="rId13"/>
          <a:extLst>
            <a:ext uri="{FF2B5EF4-FFF2-40B4-BE49-F238E27FC236}">
              <a16:creationId xmlns:a16="http://schemas.microsoft.com/office/drawing/2014/main" id="{00000000-0008-0000-0500-000015000000}"/>
            </a:ext>
          </a:extLst>
        </xdr:cNvPr>
        <xdr:cNvSpPr txBox="1"/>
      </xdr:nvSpPr>
      <xdr:spPr>
        <a:xfrm>
          <a:off x="3543300" y="16182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24</xdr:row>
      <xdr:rowOff>628650</xdr:rowOff>
    </xdr:from>
    <xdr:to>
      <xdr:col>3</xdr:col>
      <xdr:colOff>161925</xdr:colOff>
      <xdr:row>24</xdr:row>
      <xdr:rowOff>781050</xdr:rowOff>
    </xdr:to>
    <xdr:sp macro="" textlink="">
      <xdr:nvSpPr>
        <xdr:cNvPr id="22" name="TextBox 21">
          <a:hlinkClick xmlns:r="http://schemas.openxmlformats.org/officeDocument/2006/relationships" r:id="rId14"/>
          <a:extLst>
            <a:ext uri="{FF2B5EF4-FFF2-40B4-BE49-F238E27FC236}">
              <a16:creationId xmlns:a16="http://schemas.microsoft.com/office/drawing/2014/main" id="{00000000-0008-0000-0500-000016000000}"/>
            </a:ext>
          </a:extLst>
        </xdr:cNvPr>
        <xdr:cNvSpPr txBox="1"/>
      </xdr:nvSpPr>
      <xdr:spPr>
        <a:xfrm>
          <a:off x="3543300" y="169830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25</xdr:row>
      <xdr:rowOff>628650</xdr:rowOff>
    </xdr:from>
    <xdr:to>
      <xdr:col>3</xdr:col>
      <xdr:colOff>161925</xdr:colOff>
      <xdr:row>25</xdr:row>
      <xdr:rowOff>781050</xdr:rowOff>
    </xdr:to>
    <xdr:sp macro="" textlink="">
      <xdr:nvSpPr>
        <xdr:cNvPr id="23" name="TextBox 22">
          <a:hlinkClick xmlns:r="http://schemas.openxmlformats.org/officeDocument/2006/relationships" r:id="rId15"/>
          <a:extLst>
            <a:ext uri="{FF2B5EF4-FFF2-40B4-BE49-F238E27FC236}">
              <a16:creationId xmlns:a16="http://schemas.microsoft.com/office/drawing/2014/main" id="{00000000-0008-0000-0500-000017000000}"/>
            </a:ext>
          </a:extLst>
        </xdr:cNvPr>
        <xdr:cNvSpPr txBox="1"/>
      </xdr:nvSpPr>
      <xdr:spPr>
        <a:xfrm>
          <a:off x="3543300" y="177831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26</xdr:row>
      <xdr:rowOff>628650</xdr:rowOff>
    </xdr:from>
    <xdr:to>
      <xdr:col>3</xdr:col>
      <xdr:colOff>161925</xdr:colOff>
      <xdr:row>26</xdr:row>
      <xdr:rowOff>781050</xdr:rowOff>
    </xdr:to>
    <xdr:sp macro="" textlink="">
      <xdr:nvSpPr>
        <xdr:cNvPr id="24" name="TextBox 23">
          <a:hlinkClick xmlns:r="http://schemas.openxmlformats.org/officeDocument/2006/relationships" r:id="rId16"/>
          <a:extLst>
            <a:ext uri="{FF2B5EF4-FFF2-40B4-BE49-F238E27FC236}">
              <a16:creationId xmlns:a16="http://schemas.microsoft.com/office/drawing/2014/main" id="{00000000-0008-0000-0500-000018000000}"/>
            </a:ext>
          </a:extLst>
        </xdr:cNvPr>
        <xdr:cNvSpPr txBox="1"/>
      </xdr:nvSpPr>
      <xdr:spPr>
        <a:xfrm>
          <a:off x="3543300" y="18583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27</xdr:row>
      <xdr:rowOff>628650</xdr:rowOff>
    </xdr:from>
    <xdr:to>
      <xdr:col>3</xdr:col>
      <xdr:colOff>161925</xdr:colOff>
      <xdr:row>27</xdr:row>
      <xdr:rowOff>781050</xdr:rowOff>
    </xdr:to>
    <xdr:sp macro="" textlink="">
      <xdr:nvSpPr>
        <xdr:cNvPr id="25" name="TextBox 24">
          <a:hlinkClick xmlns:r="http://schemas.openxmlformats.org/officeDocument/2006/relationships" r:id="rId17"/>
          <a:extLst>
            <a:ext uri="{FF2B5EF4-FFF2-40B4-BE49-F238E27FC236}">
              <a16:creationId xmlns:a16="http://schemas.microsoft.com/office/drawing/2014/main" id="{00000000-0008-0000-0500-000019000000}"/>
            </a:ext>
          </a:extLst>
        </xdr:cNvPr>
        <xdr:cNvSpPr txBox="1"/>
      </xdr:nvSpPr>
      <xdr:spPr>
        <a:xfrm>
          <a:off x="3543300" y="19383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28</xdr:row>
      <xdr:rowOff>628650</xdr:rowOff>
    </xdr:from>
    <xdr:to>
      <xdr:col>3</xdr:col>
      <xdr:colOff>161925</xdr:colOff>
      <xdr:row>28</xdr:row>
      <xdr:rowOff>781050</xdr:rowOff>
    </xdr:to>
    <xdr:sp macro="" textlink="">
      <xdr:nvSpPr>
        <xdr:cNvPr id="26" name="TextBox 25">
          <a:hlinkClick xmlns:r="http://schemas.openxmlformats.org/officeDocument/2006/relationships" r:id="rId18"/>
          <a:extLst>
            <a:ext uri="{FF2B5EF4-FFF2-40B4-BE49-F238E27FC236}">
              <a16:creationId xmlns:a16="http://schemas.microsoft.com/office/drawing/2014/main" id="{00000000-0008-0000-0500-00001A000000}"/>
            </a:ext>
          </a:extLst>
        </xdr:cNvPr>
        <xdr:cNvSpPr txBox="1"/>
      </xdr:nvSpPr>
      <xdr:spPr>
        <a:xfrm>
          <a:off x="3543300" y="20183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31</xdr:row>
      <xdr:rowOff>628650</xdr:rowOff>
    </xdr:from>
    <xdr:to>
      <xdr:col>3</xdr:col>
      <xdr:colOff>161925</xdr:colOff>
      <xdr:row>31</xdr:row>
      <xdr:rowOff>781050</xdr:rowOff>
    </xdr:to>
    <xdr:sp macro="" textlink="">
      <xdr:nvSpPr>
        <xdr:cNvPr id="27" name="TextBox 26">
          <a:hlinkClick xmlns:r="http://schemas.openxmlformats.org/officeDocument/2006/relationships" r:id="rId19"/>
          <a:extLst>
            <a:ext uri="{FF2B5EF4-FFF2-40B4-BE49-F238E27FC236}">
              <a16:creationId xmlns:a16="http://schemas.microsoft.com/office/drawing/2014/main" id="{00000000-0008-0000-0500-00001B000000}"/>
            </a:ext>
          </a:extLst>
        </xdr:cNvPr>
        <xdr:cNvSpPr txBox="1"/>
      </xdr:nvSpPr>
      <xdr:spPr>
        <a:xfrm>
          <a:off x="3543300" y="22583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28" name="TextBox 27">
          <a:hlinkClick xmlns:r="http://schemas.openxmlformats.org/officeDocument/2006/relationships" r:id="rId20"/>
          <a:extLst>
            <a:ext uri="{FF2B5EF4-FFF2-40B4-BE49-F238E27FC236}">
              <a16:creationId xmlns:a16="http://schemas.microsoft.com/office/drawing/2014/main" id="{00000000-0008-0000-0500-00001C000000}"/>
            </a:ext>
          </a:extLst>
        </xdr:cNvPr>
        <xdr:cNvSpPr txBox="1"/>
      </xdr:nvSpPr>
      <xdr:spPr>
        <a:xfrm>
          <a:off x="3543302" y="113823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29</xdr:row>
      <xdr:rowOff>628650</xdr:rowOff>
    </xdr:from>
    <xdr:to>
      <xdr:col>3</xdr:col>
      <xdr:colOff>161926</xdr:colOff>
      <xdr:row>29</xdr:row>
      <xdr:rowOff>781050</xdr:rowOff>
    </xdr:to>
    <xdr:sp macro="" textlink="">
      <xdr:nvSpPr>
        <xdr:cNvPr id="29" name="TextBox 28">
          <a:hlinkClick xmlns:r="http://schemas.openxmlformats.org/officeDocument/2006/relationships" r:id="rId21"/>
          <a:extLst>
            <a:ext uri="{FF2B5EF4-FFF2-40B4-BE49-F238E27FC236}">
              <a16:creationId xmlns:a16="http://schemas.microsoft.com/office/drawing/2014/main" id="{00000000-0008-0000-0500-00001D000000}"/>
            </a:ext>
          </a:extLst>
        </xdr:cNvPr>
        <xdr:cNvSpPr txBox="1"/>
      </xdr:nvSpPr>
      <xdr:spPr>
        <a:xfrm>
          <a:off x="3543302" y="209835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0" name="TextBox 39">
          <a:hlinkClick xmlns:r="http://schemas.openxmlformats.org/officeDocument/2006/relationships" r:id="rId22"/>
          <a:extLst>
            <a:ext uri="{FF2B5EF4-FFF2-40B4-BE49-F238E27FC236}">
              <a16:creationId xmlns:a16="http://schemas.microsoft.com/office/drawing/2014/main" id="{00000000-0008-0000-0500-000028000000}"/>
            </a:ext>
          </a:extLst>
        </xdr:cNvPr>
        <xdr:cNvSpPr txBox="1"/>
      </xdr:nvSpPr>
      <xdr:spPr>
        <a:xfrm>
          <a:off x="3543300" y="13782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7</xdr:row>
      <xdr:rowOff>628650</xdr:rowOff>
    </xdr:from>
    <xdr:to>
      <xdr:col>3</xdr:col>
      <xdr:colOff>161925</xdr:colOff>
      <xdr:row>7</xdr:row>
      <xdr:rowOff>781050</xdr:rowOff>
    </xdr:to>
    <xdr:sp macro="" textlink="">
      <xdr:nvSpPr>
        <xdr:cNvPr id="41" name="TextBox 40">
          <a:hlinkClick xmlns:r="http://schemas.openxmlformats.org/officeDocument/2006/relationships" r:id="rId23"/>
          <a:extLst>
            <a:ext uri="{FF2B5EF4-FFF2-40B4-BE49-F238E27FC236}">
              <a16:creationId xmlns:a16="http://schemas.microsoft.com/office/drawing/2014/main" id="{00000000-0008-0000-0500-000029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8</xdr:row>
      <xdr:rowOff>628650</xdr:rowOff>
    </xdr:from>
    <xdr:to>
      <xdr:col>3</xdr:col>
      <xdr:colOff>161925</xdr:colOff>
      <xdr:row>8</xdr:row>
      <xdr:rowOff>781050</xdr:rowOff>
    </xdr:to>
    <xdr:sp macro="" textlink="">
      <xdr:nvSpPr>
        <xdr:cNvPr id="42" name="TextBox 41">
          <a:hlinkClick xmlns:r="http://schemas.openxmlformats.org/officeDocument/2006/relationships" r:id="rId24"/>
          <a:extLst>
            <a:ext uri="{FF2B5EF4-FFF2-40B4-BE49-F238E27FC236}">
              <a16:creationId xmlns:a16="http://schemas.microsoft.com/office/drawing/2014/main" id="{00000000-0008-0000-0500-00002A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43" name="TextBox 42">
          <a:hlinkClick xmlns:r="http://schemas.openxmlformats.org/officeDocument/2006/relationships" r:id="rId11"/>
          <a:extLst>
            <a:ext uri="{FF2B5EF4-FFF2-40B4-BE49-F238E27FC236}">
              <a16:creationId xmlns:a16="http://schemas.microsoft.com/office/drawing/2014/main" id="{00000000-0008-0000-0500-00002B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44" name="TextBox 43">
          <a:hlinkClick xmlns:r="http://schemas.openxmlformats.org/officeDocument/2006/relationships" r:id="rId25"/>
          <a:extLst>
            <a:ext uri="{FF2B5EF4-FFF2-40B4-BE49-F238E27FC236}">
              <a16:creationId xmlns:a16="http://schemas.microsoft.com/office/drawing/2014/main" id="{00000000-0008-0000-0500-00002C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45" name="TextBox 44">
          <a:hlinkClick xmlns:r="http://schemas.openxmlformats.org/officeDocument/2006/relationships" r:id="rId10"/>
          <a:extLst>
            <a:ext uri="{FF2B5EF4-FFF2-40B4-BE49-F238E27FC236}">
              <a16:creationId xmlns:a16="http://schemas.microsoft.com/office/drawing/2014/main" id="{00000000-0008-0000-0500-00002D000000}"/>
            </a:ext>
          </a:extLst>
        </xdr:cNvPr>
        <xdr:cNvSpPr txBox="1"/>
      </xdr:nvSpPr>
      <xdr:spPr>
        <a:xfrm>
          <a:off x="3543302" y="41814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6" name="TextBox 45">
          <a:hlinkClick xmlns:r="http://schemas.openxmlformats.org/officeDocument/2006/relationships" r:id="rId26"/>
          <a:extLst>
            <a:ext uri="{FF2B5EF4-FFF2-40B4-BE49-F238E27FC236}">
              <a16:creationId xmlns:a16="http://schemas.microsoft.com/office/drawing/2014/main" id="{00000000-0008-0000-0500-00002E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21</xdr:row>
      <xdr:rowOff>628650</xdr:rowOff>
    </xdr:from>
    <xdr:to>
      <xdr:col>3</xdr:col>
      <xdr:colOff>161925</xdr:colOff>
      <xdr:row>21</xdr:row>
      <xdr:rowOff>781050</xdr:rowOff>
    </xdr:to>
    <xdr:sp macro="" textlink="">
      <xdr:nvSpPr>
        <xdr:cNvPr id="47" name="TextBox 46">
          <a:hlinkClick xmlns:r="http://schemas.openxmlformats.org/officeDocument/2006/relationships" r:id="rId27"/>
          <a:extLst>
            <a:ext uri="{FF2B5EF4-FFF2-40B4-BE49-F238E27FC236}">
              <a16:creationId xmlns:a16="http://schemas.microsoft.com/office/drawing/2014/main" id="{00000000-0008-0000-0500-00002F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35</xdr:row>
      <xdr:rowOff>790575</xdr:rowOff>
    </xdr:from>
    <xdr:to>
      <xdr:col>3</xdr:col>
      <xdr:colOff>161926</xdr:colOff>
      <xdr:row>35</xdr:row>
      <xdr:rowOff>942975</xdr:rowOff>
    </xdr:to>
    <xdr:sp macro="" textlink="">
      <xdr:nvSpPr>
        <xdr:cNvPr id="48" name="TextBox 47">
          <a:hlinkClick xmlns:r="http://schemas.openxmlformats.org/officeDocument/2006/relationships" r:id="rId28"/>
          <a:extLst>
            <a:ext uri="{FF2B5EF4-FFF2-40B4-BE49-F238E27FC236}">
              <a16:creationId xmlns:a16="http://schemas.microsoft.com/office/drawing/2014/main" id="{00000000-0008-0000-0500-000030000000}"/>
            </a:ext>
          </a:extLst>
        </xdr:cNvPr>
        <xdr:cNvSpPr txBox="1"/>
      </xdr:nvSpPr>
      <xdr:spPr>
        <a:xfrm>
          <a:off x="3543302" y="61055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37</xdr:row>
      <xdr:rowOff>790577</xdr:rowOff>
    </xdr:from>
    <xdr:to>
      <xdr:col>3</xdr:col>
      <xdr:colOff>161925</xdr:colOff>
      <xdr:row>37</xdr:row>
      <xdr:rowOff>942975</xdr:rowOff>
    </xdr:to>
    <xdr:sp macro="" textlink="">
      <xdr:nvSpPr>
        <xdr:cNvPr id="49" name="TextBox 48">
          <a:hlinkClick xmlns:r="http://schemas.openxmlformats.org/officeDocument/2006/relationships" r:id="rId29"/>
          <a:extLst>
            <a:ext uri="{FF2B5EF4-FFF2-40B4-BE49-F238E27FC236}">
              <a16:creationId xmlns:a16="http://schemas.microsoft.com/office/drawing/2014/main" id="{00000000-0008-0000-0500-000031000000}"/>
            </a:ext>
          </a:extLst>
        </xdr:cNvPr>
        <xdr:cNvSpPr txBox="1"/>
      </xdr:nvSpPr>
      <xdr:spPr>
        <a:xfrm>
          <a:off x="3533775" y="8029577"/>
          <a:ext cx="152400" cy="15239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34</xdr:row>
      <xdr:rowOff>790575</xdr:rowOff>
    </xdr:from>
    <xdr:to>
      <xdr:col>3</xdr:col>
      <xdr:colOff>152401</xdr:colOff>
      <xdr:row>34</xdr:row>
      <xdr:rowOff>942975</xdr:rowOff>
    </xdr:to>
    <xdr:sp macro="" textlink="">
      <xdr:nvSpPr>
        <xdr:cNvPr id="50" name="TextBox 49">
          <a:hlinkClick xmlns:r="http://schemas.openxmlformats.org/officeDocument/2006/relationships" r:id="rId30"/>
          <a:extLst>
            <a:ext uri="{FF2B5EF4-FFF2-40B4-BE49-F238E27FC236}">
              <a16:creationId xmlns:a16="http://schemas.microsoft.com/office/drawing/2014/main" id="{00000000-0008-0000-0500-000032000000}"/>
            </a:ext>
          </a:extLst>
        </xdr:cNvPr>
        <xdr:cNvSpPr txBox="1"/>
      </xdr:nvSpPr>
      <xdr:spPr>
        <a:xfrm>
          <a:off x="3533777" y="51435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36</xdr:row>
      <xdr:rowOff>790575</xdr:rowOff>
    </xdr:from>
    <xdr:to>
      <xdr:col>3</xdr:col>
      <xdr:colOff>161926</xdr:colOff>
      <xdr:row>36</xdr:row>
      <xdr:rowOff>942975</xdr:rowOff>
    </xdr:to>
    <xdr:sp macro="" textlink="">
      <xdr:nvSpPr>
        <xdr:cNvPr id="51" name="TextBox 50">
          <a:hlinkClick xmlns:r="http://schemas.openxmlformats.org/officeDocument/2006/relationships" r:id="rId31"/>
          <a:extLst>
            <a:ext uri="{FF2B5EF4-FFF2-40B4-BE49-F238E27FC236}">
              <a16:creationId xmlns:a16="http://schemas.microsoft.com/office/drawing/2014/main" id="{00000000-0008-0000-0500-000033000000}"/>
            </a:ext>
          </a:extLst>
        </xdr:cNvPr>
        <xdr:cNvSpPr txBox="1"/>
      </xdr:nvSpPr>
      <xdr:spPr>
        <a:xfrm>
          <a:off x="3543302" y="70675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39</xdr:row>
      <xdr:rowOff>790575</xdr:rowOff>
    </xdr:from>
    <xdr:to>
      <xdr:col>3</xdr:col>
      <xdr:colOff>152401</xdr:colOff>
      <xdr:row>39</xdr:row>
      <xdr:rowOff>942975</xdr:rowOff>
    </xdr:to>
    <xdr:sp macro="" textlink="">
      <xdr:nvSpPr>
        <xdr:cNvPr id="52" name="TextBox 51">
          <a:hlinkClick xmlns:r="http://schemas.openxmlformats.org/officeDocument/2006/relationships" r:id="rId32"/>
          <a:extLst>
            <a:ext uri="{FF2B5EF4-FFF2-40B4-BE49-F238E27FC236}">
              <a16:creationId xmlns:a16="http://schemas.microsoft.com/office/drawing/2014/main" id="{00000000-0008-0000-0500-000034000000}"/>
            </a:ext>
          </a:extLst>
        </xdr:cNvPr>
        <xdr:cNvSpPr txBox="1"/>
      </xdr:nvSpPr>
      <xdr:spPr>
        <a:xfrm>
          <a:off x="3533777" y="99536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40</xdr:row>
      <xdr:rowOff>790575</xdr:rowOff>
    </xdr:from>
    <xdr:to>
      <xdr:col>3</xdr:col>
      <xdr:colOff>161926</xdr:colOff>
      <xdr:row>40</xdr:row>
      <xdr:rowOff>942975</xdr:rowOff>
    </xdr:to>
    <xdr:sp macro="" textlink="">
      <xdr:nvSpPr>
        <xdr:cNvPr id="53" name="TextBox 52">
          <a:hlinkClick xmlns:r="http://schemas.openxmlformats.org/officeDocument/2006/relationships" r:id="rId33"/>
          <a:extLst>
            <a:ext uri="{FF2B5EF4-FFF2-40B4-BE49-F238E27FC236}">
              <a16:creationId xmlns:a16="http://schemas.microsoft.com/office/drawing/2014/main" id="{00000000-0008-0000-0500-000035000000}"/>
            </a:ext>
          </a:extLst>
        </xdr:cNvPr>
        <xdr:cNvSpPr txBox="1"/>
      </xdr:nvSpPr>
      <xdr:spPr>
        <a:xfrm>
          <a:off x="3543302" y="109156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41</xdr:row>
      <xdr:rowOff>790575</xdr:rowOff>
    </xdr:from>
    <xdr:to>
      <xdr:col>3</xdr:col>
      <xdr:colOff>152401</xdr:colOff>
      <xdr:row>41</xdr:row>
      <xdr:rowOff>942975</xdr:rowOff>
    </xdr:to>
    <xdr:sp macro="" textlink="">
      <xdr:nvSpPr>
        <xdr:cNvPr id="54" name="TextBox 53">
          <a:hlinkClick xmlns:r="http://schemas.openxmlformats.org/officeDocument/2006/relationships" r:id="rId34"/>
          <a:extLst>
            <a:ext uri="{FF2B5EF4-FFF2-40B4-BE49-F238E27FC236}">
              <a16:creationId xmlns:a16="http://schemas.microsoft.com/office/drawing/2014/main" id="{00000000-0008-0000-0500-000036000000}"/>
            </a:ext>
          </a:extLst>
        </xdr:cNvPr>
        <xdr:cNvSpPr txBox="1"/>
      </xdr:nvSpPr>
      <xdr:spPr>
        <a:xfrm>
          <a:off x="3533777" y="118776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42</xdr:row>
      <xdr:rowOff>790575</xdr:rowOff>
    </xdr:from>
    <xdr:to>
      <xdr:col>3</xdr:col>
      <xdr:colOff>161926</xdr:colOff>
      <xdr:row>42</xdr:row>
      <xdr:rowOff>942975</xdr:rowOff>
    </xdr:to>
    <xdr:sp macro="" textlink="">
      <xdr:nvSpPr>
        <xdr:cNvPr id="55" name="TextBox 54">
          <a:hlinkClick xmlns:r="http://schemas.openxmlformats.org/officeDocument/2006/relationships" r:id="rId35"/>
          <a:extLst>
            <a:ext uri="{FF2B5EF4-FFF2-40B4-BE49-F238E27FC236}">
              <a16:creationId xmlns:a16="http://schemas.microsoft.com/office/drawing/2014/main" id="{00000000-0008-0000-0500-000037000000}"/>
            </a:ext>
          </a:extLst>
        </xdr:cNvPr>
        <xdr:cNvSpPr txBox="1"/>
      </xdr:nvSpPr>
      <xdr:spPr>
        <a:xfrm>
          <a:off x="3543302" y="128397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44</xdr:row>
      <xdr:rowOff>790575</xdr:rowOff>
    </xdr:from>
    <xdr:to>
      <xdr:col>3</xdr:col>
      <xdr:colOff>152401</xdr:colOff>
      <xdr:row>44</xdr:row>
      <xdr:rowOff>942975</xdr:rowOff>
    </xdr:to>
    <xdr:sp macro="" textlink="">
      <xdr:nvSpPr>
        <xdr:cNvPr id="56" name="TextBox 55">
          <a:hlinkClick xmlns:r="http://schemas.openxmlformats.org/officeDocument/2006/relationships" r:id="rId36"/>
          <a:extLst>
            <a:ext uri="{FF2B5EF4-FFF2-40B4-BE49-F238E27FC236}">
              <a16:creationId xmlns:a16="http://schemas.microsoft.com/office/drawing/2014/main" id="{00000000-0008-0000-0500-000038000000}"/>
            </a:ext>
          </a:extLst>
        </xdr:cNvPr>
        <xdr:cNvSpPr txBox="1"/>
      </xdr:nvSpPr>
      <xdr:spPr>
        <a:xfrm>
          <a:off x="3533777" y="147637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43</xdr:row>
      <xdr:rowOff>790575</xdr:rowOff>
    </xdr:from>
    <xdr:to>
      <xdr:col>3</xdr:col>
      <xdr:colOff>152401</xdr:colOff>
      <xdr:row>43</xdr:row>
      <xdr:rowOff>942975</xdr:rowOff>
    </xdr:to>
    <xdr:sp macro="" textlink="">
      <xdr:nvSpPr>
        <xdr:cNvPr id="57" name="TextBox 56">
          <a:hlinkClick xmlns:r="http://schemas.openxmlformats.org/officeDocument/2006/relationships" r:id="rId37"/>
          <a:extLst>
            <a:ext uri="{FF2B5EF4-FFF2-40B4-BE49-F238E27FC236}">
              <a16:creationId xmlns:a16="http://schemas.microsoft.com/office/drawing/2014/main" id="{00000000-0008-0000-0500-000039000000}"/>
            </a:ext>
          </a:extLst>
        </xdr:cNvPr>
        <xdr:cNvSpPr txBox="1"/>
      </xdr:nvSpPr>
      <xdr:spPr>
        <a:xfrm>
          <a:off x="3533777" y="138017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45</xdr:row>
      <xdr:rowOff>790575</xdr:rowOff>
    </xdr:from>
    <xdr:to>
      <xdr:col>3</xdr:col>
      <xdr:colOff>152401</xdr:colOff>
      <xdr:row>45</xdr:row>
      <xdr:rowOff>942975</xdr:rowOff>
    </xdr:to>
    <xdr:sp macro="" textlink="">
      <xdr:nvSpPr>
        <xdr:cNvPr id="58" name="TextBox 57">
          <a:hlinkClick xmlns:r="http://schemas.openxmlformats.org/officeDocument/2006/relationships" r:id="rId38"/>
          <a:extLst>
            <a:ext uri="{FF2B5EF4-FFF2-40B4-BE49-F238E27FC236}">
              <a16:creationId xmlns:a16="http://schemas.microsoft.com/office/drawing/2014/main" id="{00000000-0008-0000-0500-00003A000000}"/>
            </a:ext>
          </a:extLst>
        </xdr:cNvPr>
        <xdr:cNvSpPr txBox="1"/>
      </xdr:nvSpPr>
      <xdr:spPr>
        <a:xfrm>
          <a:off x="3533777" y="157257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46</xdr:row>
      <xdr:rowOff>790575</xdr:rowOff>
    </xdr:from>
    <xdr:to>
      <xdr:col>3</xdr:col>
      <xdr:colOff>152399</xdr:colOff>
      <xdr:row>46</xdr:row>
      <xdr:rowOff>942975</xdr:rowOff>
    </xdr:to>
    <xdr:sp macro="" textlink="">
      <xdr:nvSpPr>
        <xdr:cNvPr id="59" name="TextBox 58">
          <a:hlinkClick xmlns:r="http://schemas.openxmlformats.org/officeDocument/2006/relationships" r:id="rId39"/>
          <a:extLst>
            <a:ext uri="{FF2B5EF4-FFF2-40B4-BE49-F238E27FC236}">
              <a16:creationId xmlns:a16="http://schemas.microsoft.com/office/drawing/2014/main" id="{00000000-0008-0000-0500-00003B000000}"/>
            </a:ext>
          </a:extLst>
        </xdr:cNvPr>
        <xdr:cNvSpPr txBox="1"/>
      </xdr:nvSpPr>
      <xdr:spPr>
        <a:xfrm>
          <a:off x="3533775" y="254889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200025</xdr:colOff>
          <xdr:row>1</xdr:row>
          <xdr:rowOff>95250</xdr:rowOff>
        </xdr:from>
        <xdr:to>
          <xdr:col>2</xdr:col>
          <xdr:colOff>828675</xdr:colOff>
          <xdr:row>1</xdr:row>
          <xdr:rowOff>666750</xdr:rowOff>
        </xdr:to>
        <xdr:sp macro="" textlink="">
          <xdr:nvSpPr>
            <xdr:cNvPr id="31745" name="CommandButton1" hidden="1">
              <a:extLst>
                <a:ext uri="{63B3BB69-23CF-44E3-9099-C40C66FF867C}">
                  <a14:compatExt spid="_x0000_s31745"/>
                </a:ext>
                <a:ext uri="{FF2B5EF4-FFF2-40B4-BE49-F238E27FC236}">
                  <a16:creationId xmlns:a16="http://schemas.microsoft.com/office/drawing/2014/main" id="{00000000-0008-0000-06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xdr:row>
          <xdr:rowOff>85725</xdr:rowOff>
        </xdr:from>
        <xdr:to>
          <xdr:col>2</xdr:col>
          <xdr:colOff>809625</xdr:colOff>
          <xdr:row>2</xdr:row>
          <xdr:rowOff>647700</xdr:rowOff>
        </xdr:to>
        <xdr:sp macro="" textlink="">
          <xdr:nvSpPr>
            <xdr:cNvPr id="31746" name="CommandButton2" hidden="1">
              <a:extLst>
                <a:ext uri="{63B3BB69-23CF-44E3-9099-C40C66FF867C}">
                  <a14:compatExt spid="_x0000_s31746"/>
                </a:ext>
                <a:ext uri="{FF2B5EF4-FFF2-40B4-BE49-F238E27FC236}">
                  <a16:creationId xmlns:a16="http://schemas.microsoft.com/office/drawing/2014/main" id="{00000000-0008-0000-06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14</xdr:row>
          <xdr:rowOff>133350</xdr:rowOff>
        </xdr:from>
        <xdr:to>
          <xdr:col>2</xdr:col>
          <xdr:colOff>800100</xdr:colOff>
          <xdr:row>14</xdr:row>
          <xdr:rowOff>695325</xdr:rowOff>
        </xdr:to>
        <xdr:sp macro="" textlink="">
          <xdr:nvSpPr>
            <xdr:cNvPr id="31747" name="CommandButton3" hidden="1">
              <a:extLst>
                <a:ext uri="{63B3BB69-23CF-44E3-9099-C40C66FF867C}">
                  <a14:compatExt spid="_x0000_s31747"/>
                </a:ext>
                <a:ext uri="{FF2B5EF4-FFF2-40B4-BE49-F238E27FC236}">
                  <a16:creationId xmlns:a16="http://schemas.microsoft.com/office/drawing/2014/main" id="{00000000-0008-0000-0600-00000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15</xdr:row>
          <xdr:rowOff>114300</xdr:rowOff>
        </xdr:from>
        <xdr:to>
          <xdr:col>2</xdr:col>
          <xdr:colOff>809625</xdr:colOff>
          <xdr:row>15</xdr:row>
          <xdr:rowOff>666750</xdr:rowOff>
        </xdr:to>
        <xdr:sp macro="" textlink="">
          <xdr:nvSpPr>
            <xdr:cNvPr id="31748" name="CommandButton4" hidden="1">
              <a:extLst>
                <a:ext uri="{63B3BB69-23CF-44E3-9099-C40C66FF867C}">
                  <a14:compatExt spid="_x0000_s31748"/>
                </a:ext>
                <a:ext uri="{FF2B5EF4-FFF2-40B4-BE49-F238E27FC236}">
                  <a16:creationId xmlns:a16="http://schemas.microsoft.com/office/drawing/2014/main" id="{00000000-0008-0000-0600-00000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503997</xdr:colOff>
      <xdr:row>0</xdr:row>
      <xdr:rowOff>55907</xdr:rowOff>
    </xdr:from>
    <xdr:to>
      <xdr:col>9</xdr:col>
      <xdr:colOff>679367</xdr:colOff>
      <xdr:row>0</xdr:row>
      <xdr:rowOff>302287</xdr:rowOff>
    </xdr:to>
    <xdr:pic>
      <xdr:nvPicPr>
        <xdr:cNvPr id="10" name="Picture 9">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0543347" y="55907"/>
          <a:ext cx="1718420" cy="246380"/>
        </a:xfrm>
        <a:prstGeom prst="rect">
          <a:avLst/>
        </a:prstGeom>
      </xdr:spPr>
    </xdr:pic>
    <xdr:clientData/>
  </xdr:twoCellAnchor>
  <xdr:twoCellAnchor>
    <xdr:from>
      <xdr:col>3</xdr:col>
      <xdr:colOff>19050</xdr:colOff>
      <xdr:row>3</xdr:row>
      <xdr:rowOff>628650</xdr:rowOff>
    </xdr:from>
    <xdr:to>
      <xdr:col>3</xdr:col>
      <xdr:colOff>161925</xdr:colOff>
      <xdr:row>3</xdr:row>
      <xdr:rowOff>781050</xdr:rowOff>
    </xdr:to>
    <xdr:sp macro="" textlink="">
      <xdr:nvSpPr>
        <xdr:cNvPr id="11" name="TextBox 10">
          <a:hlinkClick xmlns:r="http://schemas.openxmlformats.org/officeDocument/2006/relationships" r:id="rId2"/>
          <a:extLst>
            <a:ext uri="{FF2B5EF4-FFF2-40B4-BE49-F238E27FC236}">
              <a16:creationId xmlns:a16="http://schemas.microsoft.com/office/drawing/2014/main" id="{00000000-0008-0000-0600-00000B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4</xdr:row>
      <xdr:rowOff>628650</xdr:rowOff>
    </xdr:from>
    <xdr:to>
      <xdr:col>3</xdr:col>
      <xdr:colOff>161925</xdr:colOff>
      <xdr:row>4</xdr:row>
      <xdr:rowOff>781050</xdr:rowOff>
    </xdr:to>
    <xdr:sp macro="" textlink="">
      <xdr:nvSpPr>
        <xdr:cNvPr id="12" name="TextBox 11">
          <a:hlinkClick xmlns:r="http://schemas.openxmlformats.org/officeDocument/2006/relationships" r:id="rId3"/>
          <a:extLst>
            <a:ext uri="{FF2B5EF4-FFF2-40B4-BE49-F238E27FC236}">
              <a16:creationId xmlns:a16="http://schemas.microsoft.com/office/drawing/2014/main" id="{00000000-0008-0000-0600-00000C000000}"/>
            </a:ext>
          </a:extLst>
        </xdr:cNvPr>
        <xdr:cNvSpPr txBox="1"/>
      </xdr:nvSpPr>
      <xdr:spPr>
        <a:xfrm>
          <a:off x="3543300" y="3381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5</xdr:row>
      <xdr:rowOff>628650</xdr:rowOff>
    </xdr:from>
    <xdr:to>
      <xdr:col>3</xdr:col>
      <xdr:colOff>161925</xdr:colOff>
      <xdr:row>5</xdr:row>
      <xdr:rowOff>781050</xdr:rowOff>
    </xdr:to>
    <xdr:sp macro="" textlink="">
      <xdr:nvSpPr>
        <xdr:cNvPr id="13" name="TextBox 12">
          <a:hlinkClick xmlns:r="http://schemas.openxmlformats.org/officeDocument/2006/relationships" r:id="rId4"/>
          <a:extLst>
            <a:ext uri="{FF2B5EF4-FFF2-40B4-BE49-F238E27FC236}">
              <a16:creationId xmlns:a16="http://schemas.microsoft.com/office/drawing/2014/main" id="{00000000-0008-0000-0600-00000D000000}"/>
            </a:ext>
          </a:extLst>
        </xdr:cNvPr>
        <xdr:cNvSpPr txBox="1"/>
      </xdr:nvSpPr>
      <xdr:spPr>
        <a:xfrm>
          <a:off x="3543300" y="4181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6</xdr:row>
      <xdr:rowOff>628650</xdr:rowOff>
    </xdr:from>
    <xdr:to>
      <xdr:col>3</xdr:col>
      <xdr:colOff>161925</xdr:colOff>
      <xdr:row>6</xdr:row>
      <xdr:rowOff>781050</xdr:rowOff>
    </xdr:to>
    <xdr:sp macro="" textlink="">
      <xdr:nvSpPr>
        <xdr:cNvPr id="14" name="TextBox 13">
          <a:hlinkClick xmlns:r="http://schemas.openxmlformats.org/officeDocument/2006/relationships" r:id="rId5"/>
          <a:extLst>
            <a:ext uri="{FF2B5EF4-FFF2-40B4-BE49-F238E27FC236}">
              <a16:creationId xmlns:a16="http://schemas.microsoft.com/office/drawing/2014/main" id="{00000000-0008-0000-0600-00000E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9</xdr:row>
      <xdr:rowOff>628650</xdr:rowOff>
    </xdr:from>
    <xdr:to>
      <xdr:col>3</xdr:col>
      <xdr:colOff>161925</xdr:colOff>
      <xdr:row>9</xdr:row>
      <xdr:rowOff>781050</xdr:rowOff>
    </xdr:to>
    <xdr:sp macro="" textlink="">
      <xdr:nvSpPr>
        <xdr:cNvPr id="15" name="TextBox 14">
          <a:hlinkClick xmlns:r="http://schemas.openxmlformats.org/officeDocument/2006/relationships" r:id="rId6"/>
          <a:extLst>
            <a:ext uri="{FF2B5EF4-FFF2-40B4-BE49-F238E27FC236}">
              <a16:creationId xmlns:a16="http://schemas.microsoft.com/office/drawing/2014/main" id="{00000000-0008-0000-0600-00000F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10</xdr:row>
      <xdr:rowOff>628650</xdr:rowOff>
    </xdr:from>
    <xdr:to>
      <xdr:col>3</xdr:col>
      <xdr:colOff>161925</xdr:colOff>
      <xdr:row>10</xdr:row>
      <xdr:rowOff>781050</xdr:rowOff>
    </xdr:to>
    <xdr:sp macro="" textlink="">
      <xdr:nvSpPr>
        <xdr:cNvPr id="16" name="TextBox 15">
          <a:hlinkClick xmlns:r="http://schemas.openxmlformats.org/officeDocument/2006/relationships" r:id="rId7"/>
          <a:extLst>
            <a:ext uri="{FF2B5EF4-FFF2-40B4-BE49-F238E27FC236}">
              <a16:creationId xmlns:a16="http://schemas.microsoft.com/office/drawing/2014/main" id="{00000000-0008-0000-0600-000010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11</xdr:row>
      <xdr:rowOff>628650</xdr:rowOff>
    </xdr:from>
    <xdr:to>
      <xdr:col>3</xdr:col>
      <xdr:colOff>161925</xdr:colOff>
      <xdr:row>11</xdr:row>
      <xdr:rowOff>781050</xdr:rowOff>
    </xdr:to>
    <xdr:sp macro="" textlink="">
      <xdr:nvSpPr>
        <xdr:cNvPr id="17" name="TextBox 16">
          <a:hlinkClick xmlns:r="http://schemas.openxmlformats.org/officeDocument/2006/relationships" r:id="rId8"/>
          <a:extLst>
            <a:ext uri="{FF2B5EF4-FFF2-40B4-BE49-F238E27FC236}">
              <a16:creationId xmlns:a16="http://schemas.microsoft.com/office/drawing/2014/main" id="{00000000-0008-0000-0600-000011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12</xdr:row>
      <xdr:rowOff>628650</xdr:rowOff>
    </xdr:from>
    <xdr:to>
      <xdr:col>3</xdr:col>
      <xdr:colOff>161925</xdr:colOff>
      <xdr:row>12</xdr:row>
      <xdr:rowOff>781050</xdr:rowOff>
    </xdr:to>
    <xdr:sp macro="" textlink="">
      <xdr:nvSpPr>
        <xdr:cNvPr id="18" name="TextBox 17">
          <a:hlinkClick xmlns:r="http://schemas.openxmlformats.org/officeDocument/2006/relationships" r:id="rId9"/>
          <a:extLst>
            <a:ext uri="{FF2B5EF4-FFF2-40B4-BE49-F238E27FC236}">
              <a16:creationId xmlns:a16="http://schemas.microsoft.com/office/drawing/2014/main" id="{00000000-0008-0000-0600-000012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19" name="TextBox 18">
          <a:hlinkClick xmlns:r="http://schemas.openxmlformats.org/officeDocument/2006/relationships" r:id="rId10"/>
          <a:extLst>
            <a:ext uri="{FF2B5EF4-FFF2-40B4-BE49-F238E27FC236}">
              <a16:creationId xmlns:a16="http://schemas.microsoft.com/office/drawing/2014/main" id="{00000000-0008-0000-0600-000013000000}"/>
            </a:ext>
          </a:extLst>
        </xdr:cNvPr>
        <xdr:cNvSpPr txBox="1"/>
      </xdr:nvSpPr>
      <xdr:spPr>
        <a:xfrm>
          <a:off x="3543300" y="12982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20" name="TextBox 19">
          <a:hlinkClick xmlns:r="http://schemas.openxmlformats.org/officeDocument/2006/relationships" r:id="rId11"/>
          <a:extLst>
            <a:ext uri="{FF2B5EF4-FFF2-40B4-BE49-F238E27FC236}">
              <a16:creationId xmlns:a16="http://schemas.microsoft.com/office/drawing/2014/main" id="{00000000-0008-0000-0600-000014000000}"/>
            </a:ext>
          </a:extLst>
        </xdr:cNvPr>
        <xdr:cNvSpPr txBox="1"/>
      </xdr:nvSpPr>
      <xdr:spPr>
        <a:xfrm>
          <a:off x="3543300" y="14582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22</xdr:row>
      <xdr:rowOff>628650</xdr:rowOff>
    </xdr:from>
    <xdr:to>
      <xdr:col>3</xdr:col>
      <xdr:colOff>161925</xdr:colOff>
      <xdr:row>22</xdr:row>
      <xdr:rowOff>781050</xdr:rowOff>
    </xdr:to>
    <xdr:sp macro="" textlink="">
      <xdr:nvSpPr>
        <xdr:cNvPr id="21" name="TextBox 20">
          <a:hlinkClick xmlns:r="http://schemas.openxmlformats.org/officeDocument/2006/relationships" r:id="rId12"/>
          <a:extLst>
            <a:ext uri="{FF2B5EF4-FFF2-40B4-BE49-F238E27FC236}">
              <a16:creationId xmlns:a16="http://schemas.microsoft.com/office/drawing/2014/main" id="{00000000-0008-0000-0600-000015000000}"/>
            </a:ext>
          </a:extLst>
        </xdr:cNvPr>
        <xdr:cNvSpPr txBox="1"/>
      </xdr:nvSpPr>
      <xdr:spPr>
        <a:xfrm>
          <a:off x="3543300" y="15382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23</xdr:row>
      <xdr:rowOff>628650</xdr:rowOff>
    </xdr:from>
    <xdr:to>
      <xdr:col>3</xdr:col>
      <xdr:colOff>161925</xdr:colOff>
      <xdr:row>23</xdr:row>
      <xdr:rowOff>781050</xdr:rowOff>
    </xdr:to>
    <xdr:sp macro="" textlink="">
      <xdr:nvSpPr>
        <xdr:cNvPr id="22" name="TextBox 21">
          <a:hlinkClick xmlns:r="http://schemas.openxmlformats.org/officeDocument/2006/relationships" r:id="rId13"/>
          <a:extLst>
            <a:ext uri="{FF2B5EF4-FFF2-40B4-BE49-F238E27FC236}">
              <a16:creationId xmlns:a16="http://schemas.microsoft.com/office/drawing/2014/main" id="{00000000-0008-0000-0600-000016000000}"/>
            </a:ext>
          </a:extLst>
        </xdr:cNvPr>
        <xdr:cNvSpPr txBox="1"/>
      </xdr:nvSpPr>
      <xdr:spPr>
        <a:xfrm>
          <a:off x="3543300" y="16182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24</xdr:row>
      <xdr:rowOff>628650</xdr:rowOff>
    </xdr:from>
    <xdr:to>
      <xdr:col>3</xdr:col>
      <xdr:colOff>161925</xdr:colOff>
      <xdr:row>24</xdr:row>
      <xdr:rowOff>781050</xdr:rowOff>
    </xdr:to>
    <xdr:sp macro="" textlink="">
      <xdr:nvSpPr>
        <xdr:cNvPr id="23" name="TextBox 22">
          <a:hlinkClick xmlns:r="http://schemas.openxmlformats.org/officeDocument/2006/relationships" r:id="rId14"/>
          <a:extLst>
            <a:ext uri="{FF2B5EF4-FFF2-40B4-BE49-F238E27FC236}">
              <a16:creationId xmlns:a16="http://schemas.microsoft.com/office/drawing/2014/main" id="{00000000-0008-0000-0600-000017000000}"/>
            </a:ext>
          </a:extLst>
        </xdr:cNvPr>
        <xdr:cNvSpPr txBox="1"/>
      </xdr:nvSpPr>
      <xdr:spPr>
        <a:xfrm>
          <a:off x="3543300" y="169830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25</xdr:row>
      <xdr:rowOff>628650</xdr:rowOff>
    </xdr:from>
    <xdr:to>
      <xdr:col>3</xdr:col>
      <xdr:colOff>161925</xdr:colOff>
      <xdr:row>25</xdr:row>
      <xdr:rowOff>781050</xdr:rowOff>
    </xdr:to>
    <xdr:sp macro="" textlink="">
      <xdr:nvSpPr>
        <xdr:cNvPr id="24" name="TextBox 23">
          <a:hlinkClick xmlns:r="http://schemas.openxmlformats.org/officeDocument/2006/relationships" r:id="rId15"/>
          <a:extLst>
            <a:ext uri="{FF2B5EF4-FFF2-40B4-BE49-F238E27FC236}">
              <a16:creationId xmlns:a16="http://schemas.microsoft.com/office/drawing/2014/main" id="{00000000-0008-0000-0600-000018000000}"/>
            </a:ext>
          </a:extLst>
        </xdr:cNvPr>
        <xdr:cNvSpPr txBox="1"/>
      </xdr:nvSpPr>
      <xdr:spPr>
        <a:xfrm>
          <a:off x="3543300" y="177831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26</xdr:row>
      <xdr:rowOff>628650</xdr:rowOff>
    </xdr:from>
    <xdr:to>
      <xdr:col>3</xdr:col>
      <xdr:colOff>161925</xdr:colOff>
      <xdr:row>26</xdr:row>
      <xdr:rowOff>781050</xdr:rowOff>
    </xdr:to>
    <xdr:sp macro="" textlink="">
      <xdr:nvSpPr>
        <xdr:cNvPr id="25" name="TextBox 24">
          <a:hlinkClick xmlns:r="http://schemas.openxmlformats.org/officeDocument/2006/relationships" r:id="rId16"/>
          <a:extLst>
            <a:ext uri="{FF2B5EF4-FFF2-40B4-BE49-F238E27FC236}">
              <a16:creationId xmlns:a16="http://schemas.microsoft.com/office/drawing/2014/main" id="{00000000-0008-0000-0600-000019000000}"/>
            </a:ext>
          </a:extLst>
        </xdr:cNvPr>
        <xdr:cNvSpPr txBox="1"/>
      </xdr:nvSpPr>
      <xdr:spPr>
        <a:xfrm>
          <a:off x="3543300" y="18583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27</xdr:row>
      <xdr:rowOff>628650</xdr:rowOff>
    </xdr:from>
    <xdr:to>
      <xdr:col>3</xdr:col>
      <xdr:colOff>161925</xdr:colOff>
      <xdr:row>27</xdr:row>
      <xdr:rowOff>781050</xdr:rowOff>
    </xdr:to>
    <xdr:sp macro="" textlink="">
      <xdr:nvSpPr>
        <xdr:cNvPr id="26" name="TextBox 25">
          <a:hlinkClick xmlns:r="http://schemas.openxmlformats.org/officeDocument/2006/relationships" r:id="rId17"/>
          <a:extLst>
            <a:ext uri="{FF2B5EF4-FFF2-40B4-BE49-F238E27FC236}">
              <a16:creationId xmlns:a16="http://schemas.microsoft.com/office/drawing/2014/main" id="{00000000-0008-0000-0600-00001A000000}"/>
            </a:ext>
          </a:extLst>
        </xdr:cNvPr>
        <xdr:cNvSpPr txBox="1"/>
      </xdr:nvSpPr>
      <xdr:spPr>
        <a:xfrm>
          <a:off x="3543300" y="19383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28</xdr:row>
      <xdr:rowOff>628650</xdr:rowOff>
    </xdr:from>
    <xdr:to>
      <xdr:col>3</xdr:col>
      <xdr:colOff>161925</xdr:colOff>
      <xdr:row>28</xdr:row>
      <xdr:rowOff>781050</xdr:rowOff>
    </xdr:to>
    <xdr:sp macro="" textlink="">
      <xdr:nvSpPr>
        <xdr:cNvPr id="27" name="TextBox 26">
          <a:hlinkClick xmlns:r="http://schemas.openxmlformats.org/officeDocument/2006/relationships" r:id="rId18"/>
          <a:extLst>
            <a:ext uri="{FF2B5EF4-FFF2-40B4-BE49-F238E27FC236}">
              <a16:creationId xmlns:a16="http://schemas.microsoft.com/office/drawing/2014/main" id="{00000000-0008-0000-0600-00001B000000}"/>
            </a:ext>
          </a:extLst>
        </xdr:cNvPr>
        <xdr:cNvSpPr txBox="1"/>
      </xdr:nvSpPr>
      <xdr:spPr>
        <a:xfrm>
          <a:off x="3543300" y="20183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31</xdr:row>
      <xdr:rowOff>628650</xdr:rowOff>
    </xdr:from>
    <xdr:to>
      <xdr:col>3</xdr:col>
      <xdr:colOff>161925</xdr:colOff>
      <xdr:row>31</xdr:row>
      <xdr:rowOff>781050</xdr:rowOff>
    </xdr:to>
    <xdr:sp macro="" textlink="">
      <xdr:nvSpPr>
        <xdr:cNvPr id="28" name="TextBox 27">
          <a:hlinkClick xmlns:r="http://schemas.openxmlformats.org/officeDocument/2006/relationships" r:id="rId19"/>
          <a:extLst>
            <a:ext uri="{FF2B5EF4-FFF2-40B4-BE49-F238E27FC236}">
              <a16:creationId xmlns:a16="http://schemas.microsoft.com/office/drawing/2014/main" id="{00000000-0008-0000-0600-00001C000000}"/>
            </a:ext>
          </a:extLst>
        </xdr:cNvPr>
        <xdr:cNvSpPr txBox="1"/>
      </xdr:nvSpPr>
      <xdr:spPr>
        <a:xfrm>
          <a:off x="3543300" y="22583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29" name="TextBox 28">
          <a:hlinkClick xmlns:r="http://schemas.openxmlformats.org/officeDocument/2006/relationships" r:id="rId20"/>
          <a:extLst>
            <a:ext uri="{FF2B5EF4-FFF2-40B4-BE49-F238E27FC236}">
              <a16:creationId xmlns:a16="http://schemas.microsoft.com/office/drawing/2014/main" id="{00000000-0008-0000-0600-00001D000000}"/>
            </a:ext>
          </a:extLst>
        </xdr:cNvPr>
        <xdr:cNvSpPr txBox="1"/>
      </xdr:nvSpPr>
      <xdr:spPr>
        <a:xfrm>
          <a:off x="3543302" y="113823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29</xdr:row>
      <xdr:rowOff>628650</xdr:rowOff>
    </xdr:from>
    <xdr:to>
      <xdr:col>3</xdr:col>
      <xdr:colOff>161926</xdr:colOff>
      <xdr:row>29</xdr:row>
      <xdr:rowOff>781050</xdr:rowOff>
    </xdr:to>
    <xdr:sp macro="" textlink="">
      <xdr:nvSpPr>
        <xdr:cNvPr id="30" name="TextBox 29">
          <a:hlinkClick xmlns:r="http://schemas.openxmlformats.org/officeDocument/2006/relationships" r:id="rId21"/>
          <a:extLst>
            <a:ext uri="{FF2B5EF4-FFF2-40B4-BE49-F238E27FC236}">
              <a16:creationId xmlns:a16="http://schemas.microsoft.com/office/drawing/2014/main" id="{00000000-0008-0000-0600-00001E000000}"/>
            </a:ext>
          </a:extLst>
        </xdr:cNvPr>
        <xdr:cNvSpPr txBox="1"/>
      </xdr:nvSpPr>
      <xdr:spPr>
        <a:xfrm>
          <a:off x="3543302" y="209835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1" name="TextBox 40">
          <a:hlinkClick xmlns:r="http://schemas.openxmlformats.org/officeDocument/2006/relationships" r:id="rId22"/>
          <a:extLst>
            <a:ext uri="{FF2B5EF4-FFF2-40B4-BE49-F238E27FC236}">
              <a16:creationId xmlns:a16="http://schemas.microsoft.com/office/drawing/2014/main" id="{00000000-0008-0000-0600-000029000000}"/>
            </a:ext>
          </a:extLst>
        </xdr:cNvPr>
        <xdr:cNvSpPr txBox="1"/>
      </xdr:nvSpPr>
      <xdr:spPr>
        <a:xfrm>
          <a:off x="3543300" y="13782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7</xdr:row>
      <xdr:rowOff>628650</xdr:rowOff>
    </xdr:from>
    <xdr:to>
      <xdr:col>3</xdr:col>
      <xdr:colOff>161925</xdr:colOff>
      <xdr:row>7</xdr:row>
      <xdr:rowOff>781050</xdr:rowOff>
    </xdr:to>
    <xdr:sp macro="" textlink="">
      <xdr:nvSpPr>
        <xdr:cNvPr id="42" name="TextBox 41">
          <a:hlinkClick xmlns:r="http://schemas.openxmlformats.org/officeDocument/2006/relationships" r:id="rId23"/>
          <a:extLst>
            <a:ext uri="{FF2B5EF4-FFF2-40B4-BE49-F238E27FC236}">
              <a16:creationId xmlns:a16="http://schemas.microsoft.com/office/drawing/2014/main" id="{00000000-0008-0000-0600-00002A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8</xdr:row>
      <xdr:rowOff>628650</xdr:rowOff>
    </xdr:from>
    <xdr:to>
      <xdr:col>3</xdr:col>
      <xdr:colOff>161925</xdr:colOff>
      <xdr:row>8</xdr:row>
      <xdr:rowOff>781050</xdr:rowOff>
    </xdr:to>
    <xdr:sp macro="" textlink="">
      <xdr:nvSpPr>
        <xdr:cNvPr id="43" name="TextBox 42">
          <a:hlinkClick xmlns:r="http://schemas.openxmlformats.org/officeDocument/2006/relationships" r:id="rId24"/>
          <a:extLst>
            <a:ext uri="{FF2B5EF4-FFF2-40B4-BE49-F238E27FC236}">
              <a16:creationId xmlns:a16="http://schemas.microsoft.com/office/drawing/2014/main" id="{00000000-0008-0000-0600-00002B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44" name="TextBox 43">
          <a:hlinkClick xmlns:r="http://schemas.openxmlformats.org/officeDocument/2006/relationships" r:id="rId11"/>
          <a:extLst>
            <a:ext uri="{FF2B5EF4-FFF2-40B4-BE49-F238E27FC236}">
              <a16:creationId xmlns:a16="http://schemas.microsoft.com/office/drawing/2014/main" id="{00000000-0008-0000-0600-00002C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45" name="TextBox 44">
          <a:hlinkClick xmlns:r="http://schemas.openxmlformats.org/officeDocument/2006/relationships" r:id="rId25"/>
          <a:extLst>
            <a:ext uri="{FF2B5EF4-FFF2-40B4-BE49-F238E27FC236}">
              <a16:creationId xmlns:a16="http://schemas.microsoft.com/office/drawing/2014/main" id="{00000000-0008-0000-0600-00002D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46" name="TextBox 45">
          <a:hlinkClick xmlns:r="http://schemas.openxmlformats.org/officeDocument/2006/relationships" r:id="rId10"/>
          <a:extLst>
            <a:ext uri="{FF2B5EF4-FFF2-40B4-BE49-F238E27FC236}">
              <a16:creationId xmlns:a16="http://schemas.microsoft.com/office/drawing/2014/main" id="{00000000-0008-0000-0600-00002E000000}"/>
            </a:ext>
          </a:extLst>
        </xdr:cNvPr>
        <xdr:cNvSpPr txBox="1"/>
      </xdr:nvSpPr>
      <xdr:spPr>
        <a:xfrm>
          <a:off x="3543302" y="41814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7" name="TextBox 46">
          <a:hlinkClick xmlns:r="http://schemas.openxmlformats.org/officeDocument/2006/relationships" r:id="rId26"/>
          <a:extLst>
            <a:ext uri="{FF2B5EF4-FFF2-40B4-BE49-F238E27FC236}">
              <a16:creationId xmlns:a16="http://schemas.microsoft.com/office/drawing/2014/main" id="{00000000-0008-0000-0600-00002F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21</xdr:row>
      <xdr:rowOff>628650</xdr:rowOff>
    </xdr:from>
    <xdr:to>
      <xdr:col>3</xdr:col>
      <xdr:colOff>161925</xdr:colOff>
      <xdr:row>21</xdr:row>
      <xdr:rowOff>781050</xdr:rowOff>
    </xdr:to>
    <xdr:sp macro="" textlink="">
      <xdr:nvSpPr>
        <xdr:cNvPr id="48" name="TextBox 47">
          <a:hlinkClick xmlns:r="http://schemas.openxmlformats.org/officeDocument/2006/relationships" r:id="rId27"/>
          <a:extLst>
            <a:ext uri="{FF2B5EF4-FFF2-40B4-BE49-F238E27FC236}">
              <a16:creationId xmlns:a16="http://schemas.microsoft.com/office/drawing/2014/main" id="{00000000-0008-0000-0600-000030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35</xdr:row>
      <xdr:rowOff>790575</xdr:rowOff>
    </xdr:from>
    <xdr:to>
      <xdr:col>3</xdr:col>
      <xdr:colOff>161926</xdr:colOff>
      <xdr:row>35</xdr:row>
      <xdr:rowOff>942975</xdr:rowOff>
    </xdr:to>
    <xdr:sp macro="" textlink="">
      <xdr:nvSpPr>
        <xdr:cNvPr id="49" name="TextBox 48">
          <a:hlinkClick xmlns:r="http://schemas.openxmlformats.org/officeDocument/2006/relationships" r:id="rId28"/>
          <a:extLst>
            <a:ext uri="{FF2B5EF4-FFF2-40B4-BE49-F238E27FC236}">
              <a16:creationId xmlns:a16="http://schemas.microsoft.com/office/drawing/2014/main" id="{00000000-0008-0000-0600-000031000000}"/>
            </a:ext>
          </a:extLst>
        </xdr:cNvPr>
        <xdr:cNvSpPr txBox="1"/>
      </xdr:nvSpPr>
      <xdr:spPr>
        <a:xfrm>
          <a:off x="3543302" y="61055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37</xdr:row>
      <xdr:rowOff>790577</xdr:rowOff>
    </xdr:from>
    <xdr:to>
      <xdr:col>3</xdr:col>
      <xdr:colOff>161925</xdr:colOff>
      <xdr:row>37</xdr:row>
      <xdr:rowOff>942975</xdr:rowOff>
    </xdr:to>
    <xdr:sp macro="" textlink="">
      <xdr:nvSpPr>
        <xdr:cNvPr id="50" name="TextBox 49">
          <a:hlinkClick xmlns:r="http://schemas.openxmlformats.org/officeDocument/2006/relationships" r:id="rId29"/>
          <a:extLst>
            <a:ext uri="{FF2B5EF4-FFF2-40B4-BE49-F238E27FC236}">
              <a16:creationId xmlns:a16="http://schemas.microsoft.com/office/drawing/2014/main" id="{00000000-0008-0000-0600-000032000000}"/>
            </a:ext>
          </a:extLst>
        </xdr:cNvPr>
        <xdr:cNvSpPr txBox="1"/>
      </xdr:nvSpPr>
      <xdr:spPr>
        <a:xfrm>
          <a:off x="3533775" y="8029577"/>
          <a:ext cx="152400" cy="15239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34</xdr:row>
      <xdr:rowOff>790575</xdr:rowOff>
    </xdr:from>
    <xdr:to>
      <xdr:col>3</xdr:col>
      <xdr:colOff>152401</xdr:colOff>
      <xdr:row>34</xdr:row>
      <xdr:rowOff>942975</xdr:rowOff>
    </xdr:to>
    <xdr:sp macro="" textlink="">
      <xdr:nvSpPr>
        <xdr:cNvPr id="51" name="TextBox 50">
          <a:hlinkClick xmlns:r="http://schemas.openxmlformats.org/officeDocument/2006/relationships" r:id="rId30"/>
          <a:extLst>
            <a:ext uri="{FF2B5EF4-FFF2-40B4-BE49-F238E27FC236}">
              <a16:creationId xmlns:a16="http://schemas.microsoft.com/office/drawing/2014/main" id="{00000000-0008-0000-0600-000033000000}"/>
            </a:ext>
          </a:extLst>
        </xdr:cNvPr>
        <xdr:cNvSpPr txBox="1"/>
      </xdr:nvSpPr>
      <xdr:spPr>
        <a:xfrm>
          <a:off x="3533777" y="51435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36</xdr:row>
      <xdr:rowOff>790575</xdr:rowOff>
    </xdr:from>
    <xdr:to>
      <xdr:col>3</xdr:col>
      <xdr:colOff>161926</xdr:colOff>
      <xdr:row>36</xdr:row>
      <xdr:rowOff>942975</xdr:rowOff>
    </xdr:to>
    <xdr:sp macro="" textlink="">
      <xdr:nvSpPr>
        <xdr:cNvPr id="52" name="TextBox 51">
          <a:hlinkClick xmlns:r="http://schemas.openxmlformats.org/officeDocument/2006/relationships" r:id="rId31"/>
          <a:extLst>
            <a:ext uri="{FF2B5EF4-FFF2-40B4-BE49-F238E27FC236}">
              <a16:creationId xmlns:a16="http://schemas.microsoft.com/office/drawing/2014/main" id="{00000000-0008-0000-0600-000034000000}"/>
            </a:ext>
          </a:extLst>
        </xdr:cNvPr>
        <xdr:cNvSpPr txBox="1"/>
      </xdr:nvSpPr>
      <xdr:spPr>
        <a:xfrm>
          <a:off x="3543302" y="70675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39</xdr:row>
      <xdr:rowOff>790575</xdr:rowOff>
    </xdr:from>
    <xdr:to>
      <xdr:col>3</xdr:col>
      <xdr:colOff>152401</xdr:colOff>
      <xdr:row>39</xdr:row>
      <xdr:rowOff>942975</xdr:rowOff>
    </xdr:to>
    <xdr:sp macro="" textlink="">
      <xdr:nvSpPr>
        <xdr:cNvPr id="53" name="TextBox 52">
          <a:hlinkClick xmlns:r="http://schemas.openxmlformats.org/officeDocument/2006/relationships" r:id="rId32"/>
          <a:extLst>
            <a:ext uri="{FF2B5EF4-FFF2-40B4-BE49-F238E27FC236}">
              <a16:creationId xmlns:a16="http://schemas.microsoft.com/office/drawing/2014/main" id="{00000000-0008-0000-0600-000035000000}"/>
            </a:ext>
          </a:extLst>
        </xdr:cNvPr>
        <xdr:cNvSpPr txBox="1"/>
      </xdr:nvSpPr>
      <xdr:spPr>
        <a:xfrm>
          <a:off x="3533777" y="99536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40</xdr:row>
      <xdr:rowOff>790575</xdr:rowOff>
    </xdr:from>
    <xdr:to>
      <xdr:col>3</xdr:col>
      <xdr:colOff>161926</xdr:colOff>
      <xdr:row>40</xdr:row>
      <xdr:rowOff>942975</xdr:rowOff>
    </xdr:to>
    <xdr:sp macro="" textlink="">
      <xdr:nvSpPr>
        <xdr:cNvPr id="54" name="TextBox 53">
          <a:hlinkClick xmlns:r="http://schemas.openxmlformats.org/officeDocument/2006/relationships" r:id="rId33"/>
          <a:extLst>
            <a:ext uri="{FF2B5EF4-FFF2-40B4-BE49-F238E27FC236}">
              <a16:creationId xmlns:a16="http://schemas.microsoft.com/office/drawing/2014/main" id="{00000000-0008-0000-0600-000036000000}"/>
            </a:ext>
          </a:extLst>
        </xdr:cNvPr>
        <xdr:cNvSpPr txBox="1"/>
      </xdr:nvSpPr>
      <xdr:spPr>
        <a:xfrm>
          <a:off x="3543302" y="109156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41</xdr:row>
      <xdr:rowOff>790575</xdr:rowOff>
    </xdr:from>
    <xdr:to>
      <xdr:col>3</xdr:col>
      <xdr:colOff>152401</xdr:colOff>
      <xdr:row>41</xdr:row>
      <xdr:rowOff>942975</xdr:rowOff>
    </xdr:to>
    <xdr:sp macro="" textlink="">
      <xdr:nvSpPr>
        <xdr:cNvPr id="55" name="TextBox 54">
          <a:hlinkClick xmlns:r="http://schemas.openxmlformats.org/officeDocument/2006/relationships" r:id="rId34"/>
          <a:extLst>
            <a:ext uri="{FF2B5EF4-FFF2-40B4-BE49-F238E27FC236}">
              <a16:creationId xmlns:a16="http://schemas.microsoft.com/office/drawing/2014/main" id="{00000000-0008-0000-0600-000037000000}"/>
            </a:ext>
          </a:extLst>
        </xdr:cNvPr>
        <xdr:cNvSpPr txBox="1"/>
      </xdr:nvSpPr>
      <xdr:spPr>
        <a:xfrm>
          <a:off x="3533777" y="118776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42</xdr:row>
      <xdr:rowOff>790575</xdr:rowOff>
    </xdr:from>
    <xdr:to>
      <xdr:col>3</xdr:col>
      <xdr:colOff>161926</xdr:colOff>
      <xdr:row>42</xdr:row>
      <xdr:rowOff>942975</xdr:rowOff>
    </xdr:to>
    <xdr:sp macro="" textlink="">
      <xdr:nvSpPr>
        <xdr:cNvPr id="56" name="TextBox 55">
          <a:hlinkClick xmlns:r="http://schemas.openxmlformats.org/officeDocument/2006/relationships" r:id="rId35"/>
          <a:extLst>
            <a:ext uri="{FF2B5EF4-FFF2-40B4-BE49-F238E27FC236}">
              <a16:creationId xmlns:a16="http://schemas.microsoft.com/office/drawing/2014/main" id="{00000000-0008-0000-0600-000038000000}"/>
            </a:ext>
          </a:extLst>
        </xdr:cNvPr>
        <xdr:cNvSpPr txBox="1"/>
      </xdr:nvSpPr>
      <xdr:spPr>
        <a:xfrm>
          <a:off x="3543302" y="128397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44</xdr:row>
      <xdr:rowOff>790575</xdr:rowOff>
    </xdr:from>
    <xdr:to>
      <xdr:col>3</xdr:col>
      <xdr:colOff>152401</xdr:colOff>
      <xdr:row>44</xdr:row>
      <xdr:rowOff>942975</xdr:rowOff>
    </xdr:to>
    <xdr:sp macro="" textlink="">
      <xdr:nvSpPr>
        <xdr:cNvPr id="57" name="TextBox 56">
          <a:hlinkClick xmlns:r="http://schemas.openxmlformats.org/officeDocument/2006/relationships" r:id="rId36"/>
          <a:extLst>
            <a:ext uri="{FF2B5EF4-FFF2-40B4-BE49-F238E27FC236}">
              <a16:creationId xmlns:a16="http://schemas.microsoft.com/office/drawing/2014/main" id="{00000000-0008-0000-0600-000039000000}"/>
            </a:ext>
          </a:extLst>
        </xdr:cNvPr>
        <xdr:cNvSpPr txBox="1"/>
      </xdr:nvSpPr>
      <xdr:spPr>
        <a:xfrm>
          <a:off x="3533777" y="147637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43</xdr:row>
      <xdr:rowOff>790575</xdr:rowOff>
    </xdr:from>
    <xdr:to>
      <xdr:col>3</xdr:col>
      <xdr:colOff>152401</xdr:colOff>
      <xdr:row>43</xdr:row>
      <xdr:rowOff>942975</xdr:rowOff>
    </xdr:to>
    <xdr:sp macro="" textlink="">
      <xdr:nvSpPr>
        <xdr:cNvPr id="58" name="TextBox 57">
          <a:hlinkClick xmlns:r="http://schemas.openxmlformats.org/officeDocument/2006/relationships" r:id="rId37"/>
          <a:extLst>
            <a:ext uri="{FF2B5EF4-FFF2-40B4-BE49-F238E27FC236}">
              <a16:creationId xmlns:a16="http://schemas.microsoft.com/office/drawing/2014/main" id="{00000000-0008-0000-0600-00003A000000}"/>
            </a:ext>
          </a:extLst>
        </xdr:cNvPr>
        <xdr:cNvSpPr txBox="1"/>
      </xdr:nvSpPr>
      <xdr:spPr>
        <a:xfrm>
          <a:off x="3533777" y="138017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45</xdr:row>
      <xdr:rowOff>790575</xdr:rowOff>
    </xdr:from>
    <xdr:to>
      <xdr:col>3</xdr:col>
      <xdr:colOff>152401</xdr:colOff>
      <xdr:row>45</xdr:row>
      <xdr:rowOff>942975</xdr:rowOff>
    </xdr:to>
    <xdr:sp macro="" textlink="">
      <xdr:nvSpPr>
        <xdr:cNvPr id="59" name="TextBox 58">
          <a:hlinkClick xmlns:r="http://schemas.openxmlformats.org/officeDocument/2006/relationships" r:id="rId38"/>
          <a:extLst>
            <a:ext uri="{FF2B5EF4-FFF2-40B4-BE49-F238E27FC236}">
              <a16:creationId xmlns:a16="http://schemas.microsoft.com/office/drawing/2014/main" id="{00000000-0008-0000-0600-00003B000000}"/>
            </a:ext>
          </a:extLst>
        </xdr:cNvPr>
        <xdr:cNvSpPr txBox="1"/>
      </xdr:nvSpPr>
      <xdr:spPr>
        <a:xfrm>
          <a:off x="3533777" y="157257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46</xdr:row>
      <xdr:rowOff>790575</xdr:rowOff>
    </xdr:from>
    <xdr:to>
      <xdr:col>3</xdr:col>
      <xdr:colOff>152399</xdr:colOff>
      <xdr:row>46</xdr:row>
      <xdr:rowOff>942975</xdr:rowOff>
    </xdr:to>
    <xdr:sp macro="" textlink="">
      <xdr:nvSpPr>
        <xdr:cNvPr id="60" name="TextBox 59">
          <a:hlinkClick xmlns:r="http://schemas.openxmlformats.org/officeDocument/2006/relationships" r:id="rId39"/>
          <a:extLst>
            <a:ext uri="{FF2B5EF4-FFF2-40B4-BE49-F238E27FC236}">
              <a16:creationId xmlns:a16="http://schemas.microsoft.com/office/drawing/2014/main" id="{00000000-0008-0000-0600-00003C000000}"/>
            </a:ext>
          </a:extLst>
        </xdr:cNvPr>
        <xdr:cNvSpPr txBox="1"/>
      </xdr:nvSpPr>
      <xdr:spPr>
        <a:xfrm>
          <a:off x="3533775" y="254889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200025</xdr:colOff>
          <xdr:row>1</xdr:row>
          <xdr:rowOff>95250</xdr:rowOff>
        </xdr:from>
        <xdr:to>
          <xdr:col>2</xdr:col>
          <xdr:colOff>828675</xdr:colOff>
          <xdr:row>1</xdr:row>
          <xdr:rowOff>666750</xdr:rowOff>
        </xdr:to>
        <xdr:sp macro="" textlink="">
          <xdr:nvSpPr>
            <xdr:cNvPr id="32769" name="CommandButton1" hidden="1">
              <a:extLst>
                <a:ext uri="{63B3BB69-23CF-44E3-9099-C40C66FF867C}">
                  <a14:compatExt spid="_x0000_s32769"/>
                </a:ext>
                <a:ext uri="{FF2B5EF4-FFF2-40B4-BE49-F238E27FC236}">
                  <a16:creationId xmlns:a16="http://schemas.microsoft.com/office/drawing/2014/main" id="{00000000-0008-0000-07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xdr:row>
          <xdr:rowOff>85725</xdr:rowOff>
        </xdr:from>
        <xdr:to>
          <xdr:col>2</xdr:col>
          <xdr:colOff>809625</xdr:colOff>
          <xdr:row>2</xdr:row>
          <xdr:rowOff>647700</xdr:rowOff>
        </xdr:to>
        <xdr:sp macro="" textlink="">
          <xdr:nvSpPr>
            <xdr:cNvPr id="32770" name="CommandButton2" hidden="1">
              <a:extLst>
                <a:ext uri="{63B3BB69-23CF-44E3-9099-C40C66FF867C}">
                  <a14:compatExt spid="_x0000_s32770"/>
                </a:ext>
                <a:ext uri="{FF2B5EF4-FFF2-40B4-BE49-F238E27FC236}">
                  <a16:creationId xmlns:a16="http://schemas.microsoft.com/office/drawing/2014/main" id="{00000000-0008-0000-0700-00000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14</xdr:row>
          <xdr:rowOff>133350</xdr:rowOff>
        </xdr:from>
        <xdr:to>
          <xdr:col>2</xdr:col>
          <xdr:colOff>800100</xdr:colOff>
          <xdr:row>14</xdr:row>
          <xdr:rowOff>695325</xdr:rowOff>
        </xdr:to>
        <xdr:sp macro="" textlink="">
          <xdr:nvSpPr>
            <xdr:cNvPr id="32771" name="CommandButton3" hidden="1">
              <a:extLst>
                <a:ext uri="{63B3BB69-23CF-44E3-9099-C40C66FF867C}">
                  <a14:compatExt spid="_x0000_s32771"/>
                </a:ext>
                <a:ext uri="{FF2B5EF4-FFF2-40B4-BE49-F238E27FC236}">
                  <a16:creationId xmlns:a16="http://schemas.microsoft.com/office/drawing/2014/main" id="{00000000-0008-0000-0700-00000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15</xdr:row>
          <xdr:rowOff>114300</xdr:rowOff>
        </xdr:from>
        <xdr:to>
          <xdr:col>2</xdr:col>
          <xdr:colOff>809625</xdr:colOff>
          <xdr:row>15</xdr:row>
          <xdr:rowOff>666750</xdr:rowOff>
        </xdr:to>
        <xdr:sp macro="" textlink="">
          <xdr:nvSpPr>
            <xdr:cNvPr id="32772" name="CommandButton4" hidden="1">
              <a:extLst>
                <a:ext uri="{63B3BB69-23CF-44E3-9099-C40C66FF867C}">
                  <a14:compatExt spid="_x0000_s32772"/>
                </a:ext>
                <a:ext uri="{FF2B5EF4-FFF2-40B4-BE49-F238E27FC236}">
                  <a16:creationId xmlns:a16="http://schemas.microsoft.com/office/drawing/2014/main" id="{00000000-0008-0000-0700-00000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503997</xdr:colOff>
      <xdr:row>0</xdr:row>
      <xdr:rowOff>55907</xdr:rowOff>
    </xdr:from>
    <xdr:to>
      <xdr:col>9</xdr:col>
      <xdr:colOff>679367</xdr:colOff>
      <xdr:row>0</xdr:row>
      <xdr:rowOff>302287</xdr:rowOff>
    </xdr:to>
    <xdr:pic>
      <xdr:nvPicPr>
        <xdr:cNvPr id="10" name="Picture 9">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0543347" y="55907"/>
          <a:ext cx="1718420" cy="246380"/>
        </a:xfrm>
        <a:prstGeom prst="rect">
          <a:avLst/>
        </a:prstGeom>
      </xdr:spPr>
    </xdr:pic>
    <xdr:clientData/>
  </xdr:twoCellAnchor>
  <xdr:twoCellAnchor>
    <xdr:from>
      <xdr:col>3</xdr:col>
      <xdr:colOff>19050</xdr:colOff>
      <xdr:row>3</xdr:row>
      <xdr:rowOff>628650</xdr:rowOff>
    </xdr:from>
    <xdr:to>
      <xdr:col>3</xdr:col>
      <xdr:colOff>161925</xdr:colOff>
      <xdr:row>3</xdr:row>
      <xdr:rowOff>781050</xdr:rowOff>
    </xdr:to>
    <xdr:sp macro="" textlink="">
      <xdr:nvSpPr>
        <xdr:cNvPr id="11" name="TextBox 10">
          <a:hlinkClick xmlns:r="http://schemas.openxmlformats.org/officeDocument/2006/relationships" r:id="rId2"/>
          <a:extLst>
            <a:ext uri="{FF2B5EF4-FFF2-40B4-BE49-F238E27FC236}">
              <a16:creationId xmlns:a16="http://schemas.microsoft.com/office/drawing/2014/main" id="{00000000-0008-0000-0700-00000B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4</xdr:row>
      <xdr:rowOff>628650</xdr:rowOff>
    </xdr:from>
    <xdr:to>
      <xdr:col>3</xdr:col>
      <xdr:colOff>161925</xdr:colOff>
      <xdr:row>4</xdr:row>
      <xdr:rowOff>781050</xdr:rowOff>
    </xdr:to>
    <xdr:sp macro="" textlink="">
      <xdr:nvSpPr>
        <xdr:cNvPr id="12" name="TextBox 11">
          <a:hlinkClick xmlns:r="http://schemas.openxmlformats.org/officeDocument/2006/relationships" r:id="rId3"/>
          <a:extLst>
            <a:ext uri="{FF2B5EF4-FFF2-40B4-BE49-F238E27FC236}">
              <a16:creationId xmlns:a16="http://schemas.microsoft.com/office/drawing/2014/main" id="{00000000-0008-0000-0700-00000C000000}"/>
            </a:ext>
          </a:extLst>
        </xdr:cNvPr>
        <xdr:cNvSpPr txBox="1"/>
      </xdr:nvSpPr>
      <xdr:spPr>
        <a:xfrm>
          <a:off x="3543300" y="3381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5</xdr:row>
      <xdr:rowOff>628650</xdr:rowOff>
    </xdr:from>
    <xdr:to>
      <xdr:col>3</xdr:col>
      <xdr:colOff>161925</xdr:colOff>
      <xdr:row>5</xdr:row>
      <xdr:rowOff>781050</xdr:rowOff>
    </xdr:to>
    <xdr:sp macro="" textlink="">
      <xdr:nvSpPr>
        <xdr:cNvPr id="13" name="TextBox 12">
          <a:hlinkClick xmlns:r="http://schemas.openxmlformats.org/officeDocument/2006/relationships" r:id="rId4"/>
          <a:extLst>
            <a:ext uri="{FF2B5EF4-FFF2-40B4-BE49-F238E27FC236}">
              <a16:creationId xmlns:a16="http://schemas.microsoft.com/office/drawing/2014/main" id="{00000000-0008-0000-0700-00000D000000}"/>
            </a:ext>
          </a:extLst>
        </xdr:cNvPr>
        <xdr:cNvSpPr txBox="1"/>
      </xdr:nvSpPr>
      <xdr:spPr>
        <a:xfrm>
          <a:off x="3543300" y="4181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6</xdr:row>
      <xdr:rowOff>628650</xdr:rowOff>
    </xdr:from>
    <xdr:to>
      <xdr:col>3</xdr:col>
      <xdr:colOff>161925</xdr:colOff>
      <xdr:row>6</xdr:row>
      <xdr:rowOff>781050</xdr:rowOff>
    </xdr:to>
    <xdr:sp macro="" textlink="">
      <xdr:nvSpPr>
        <xdr:cNvPr id="14" name="TextBox 13">
          <a:hlinkClick xmlns:r="http://schemas.openxmlformats.org/officeDocument/2006/relationships" r:id="rId5"/>
          <a:extLst>
            <a:ext uri="{FF2B5EF4-FFF2-40B4-BE49-F238E27FC236}">
              <a16:creationId xmlns:a16="http://schemas.microsoft.com/office/drawing/2014/main" id="{00000000-0008-0000-0700-00000E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9</xdr:row>
      <xdr:rowOff>628650</xdr:rowOff>
    </xdr:from>
    <xdr:to>
      <xdr:col>3</xdr:col>
      <xdr:colOff>161925</xdr:colOff>
      <xdr:row>9</xdr:row>
      <xdr:rowOff>781050</xdr:rowOff>
    </xdr:to>
    <xdr:sp macro="" textlink="">
      <xdr:nvSpPr>
        <xdr:cNvPr id="15" name="TextBox 14">
          <a:hlinkClick xmlns:r="http://schemas.openxmlformats.org/officeDocument/2006/relationships" r:id="rId6"/>
          <a:extLst>
            <a:ext uri="{FF2B5EF4-FFF2-40B4-BE49-F238E27FC236}">
              <a16:creationId xmlns:a16="http://schemas.microsoft.com/office/drawing/2014/main" id="{00000000-0008-0000-0700-00000F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10</xdr:row>
      <xdr:rowOff>628650</xdr:rowOff>
    </xdr:from>
    <xdr:to>
      <xdr:col>3</xdr:col>
      <xdr:colOff>161925</xdr:colOff>
      <xdr:row>10</xdr:row>
      <xdr:rowOff>781050</xdr:rowOff>
    </xdr:to>
    <xdr:sp macro="" textlink="">
      <xdr:nvSpPr>
        <xdr:cNvPr id="16" name="TextBox 15">
          <a:hlinkClick xmlns:r="http://schemas.openxmlformats.org/officeDocument/2006/relationships" r:id="rId7"/>
          <a:extLst>
            <a:ext uri="{FF2B5EF4-FFF2-40B4-BE49-F238E27FC236}">
              <a16:creationId xmlns:a16="http://schemas.microsoft.com/office/drawing/2014/main" id="{00000000-0008-0000-0700-000010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11</xdr:row>
      <xdr:rowOff>628650</xdr:rowOff>
    </xdr:from>
    <xdr:to>
      <xdr:col>3</xdr:col>
      <xdr:colOff>161925</xdr:colOff>
      <xdr:row>11</xdr:row>
      <xdr:rowOff>781050</xdr:rowOff>
    </xdr:to>
    <xdr:sp macro="" textlink="">
      <xdr:nvSpPr>
        <xdr:cNvPr id="17" name="TextBox 16">
          <a:hlinkClick xmlns:r="http://schemas.openxmlformats.org/officeDocument/2006/relationships" r:id="rId8"/>
          <a:extLst>
            <a:ext uri="{FF2B5EF4-FFF2-40B4-BE49-F238E27FC236}">
              <a16:creationId xmlns:a16="http://schemas.microsoft.com/office/drawing/2014/main" id="{00000000-0008-0000-0700-000011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12</xdr:row>
      <xdr:rowOff>628650</xdr:rowOff>
    </xdr:from>
    <xdr:to>
      <xdr:col>3</xdr:col>
      <xdr:colOff>161925</xdr:colOff>
      <xdr:row>12</xdr:row>
      <xdr:rowOff>781050</xdr:rowOff>
    </xdr:to>
    <xdr:sp macro="" textlink="">
      <xdr:nvSpPr>
        <xdr:cNvPr id="18" name="TextBox 17">
          <a:hlinkClick xmlns:r="http://schemas.openxmlformats.org/officeDocument/2006/relationships" r:id="rId9"/>
          <a:extLst>
            <a:ext uri="{FF2B5EF4-FFF2-40B4-BE49-F238E27FC236}">
              <a16:creationId xmlns:a16="http://schemas.microsoft.com/office/drawing/2014/main" id="{00000000-0008-0000-0700-000012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19" name="TextBox 18">
          <a:hlinkClick xmlns:r="http://schemas.openxmlformats.org/officeDocument/2006/relationships" r:id="rId10"/>
          <a:extLst>
            <a:ext uri="{FF2B5EF4-FFF2-40B4-BE49-F238E27FC236}">
              <a16:creationId xmlns:a16="http://schemas.microsoft.com/office/drawing/2014/main" id="{00000000-0008-0000-0700-000013000000}"/>
            </a:ext>
          </a:extLst>
        </xdr:cNvPr>
        <xdr:cNvSpPr txBox="1"/>
      </xdr:nvSpPr>
      <xdr:spPr>
        <a:xfrm>
          <a:off x="3543300" y="12982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20" name="TextBox 19">
          <a:hlinkClick xmlns:r="http://schemas.openxmlformats.org/officeDocument/2006/relationships" r:id="rId11"/>
          <a:extLst>
            <a:ext uri="{FF2B5EF4-FFF2-40B4-BE49-F238E27FC236}">
              <a16:creationId xmlns:a16="http://schemas.microsoft.com/office/drawing/2014/main" id="{00000000-0008-0000-0700-000014000000}"/>
            </a:ext>
          </a:extLst>
        </xdr:cNvPr>
        <xdr:cNvSpPr txBox="1"/>
      </xdr:nvSpPr>
      <xdr:spPr>
        <a:xfrm>
          <a:off x="3543300" y="14582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22</xdr:row>
      <xdr:rowOff>628650</xdr:rowOff>
    </xdr:from>
    <xdr:to>
      <xdr:col>3</xdr:col>
      <xdr:colOff>161925</xdr:colOff>
      <xdr:row>22</xdr:row>
      <xdr:rowOff>781050</xdr:rowOff>
    </xdr:to>
    <xdr:sp macro="" textlink="">
      <xdr:nvSpPr>
        <xdr:cNvPr id="21" name="TextBox 20">
          <a:hlinkClick xmlns:r="http://schemas.openxmlformats.org/officeDocument/2006/relationships" r:id="rId12"/>
          <a:extLst>
            <a:ext uri="{FF2B5EF4-FFF2-40B4-BE49-F238E27FC236}">
              <a16:creationId xmlns:a16="http://schemas.microsoft.com/office/drawing/2014/main" id="{00000000-0008-0000-0700-000015000000}"/>
            </a:ext>
          </a:extLst>
        </xdr:cNvPr>
        <xdr:cNvSpPr txBox="1"/>
      </xdr:nvSpPr>
      <xdr:spPr>
        <a:xfrm>
          <a:off x="3543300" y="15382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23</xdr:row>
      <xdr:rowOff>628650</xdr:rowOff>
    </xdr:from>
    <xdr:to>
      <xdr:col>3</xdr:col>
      <xdr:colOff>161925</xdr:colOff>
      <xdr:row>23</xdr:row>
      <xdr:rowOff>781050</xdr:rowOff>
    </xdr:to>
    <xdr:sp macro="" textlink="">
      <xdr:nvSpPr>
        <xdr:cNvPr id="22" name="TextBox 21">
          <a:hlinkClick xmlns:r="http://schemas.openxmlformats.org/officeDocument/2006/relationships" r:id="rId13"/>
          <a:extLst>
            <a:ext uri="{FF2B5EF4-FFF2-40B4-BE49-F238E27FC236}">
              <a16:creationId xmlns:a16="http://schemas.microsoft.com/office/drawing/2014/main" id="{00000000-0008-0000-0700-000016000000}"/>
            </a:ext>
          </a:extLst>
        </xdr:cNvPr>
        <xdr:cNvSpPr txBox="1"/>
      </xdr:nvSpPr>
      <xdr:spPr>
        <a:xfrm>
          <a:off x="3543300" y="16182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24</xdr:row>
      <xdr:rowOff>628650</xdr:rowOff>
    </xdr:from>
    <xdr:to>
      <xdr:col>3</xdr:col>
      <xdr:colOff>161925</xdr:colOff>
      <xdr:row>24</xdr:row>
      <xdr:rowOff>781050</xdr:rowOff>
    </xdr:to>
    <xdr:sp macro="" textlink="">
      <xdr:nvSpPr>
        <xdr:cNvPr id="23" name="TextBox 22">
          <a:hlinkClick xmlns:r="http://schemas.openxmlformats.org/officeDocument/2006/relationships" r:id="rId14"/>
          <a:extLst>
            <a:ext uri="{FF2B5EF4-FFF2-40B4-BE49-F238E27FC236}">
              <a16:creationId xmlns:a16="http://schemas.microsoft.com/office/drawing/2014/main" id="{00000000-0008-0000-0700-000017000000}"/>
            </a:ext>
          </a:extLst>
        </xdr:cNvPr>
        <xdr:cNvSpPr txBox="1"/>
      </xdr:nvSpPr>
      <xdr:spPr>
        <a:xfrm>
          <a:off x="3543300" y="169830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25</xdr:row>
      <xdr:rowOff>628650</xdr:rowOff>
    </xdr:from>
    <xdr:to>
      <xdr:col>3</xdr:col>
      <xdr:colOff>161925</xdr:colOff>
      <xdr:row>25</xdr:row>
      <xdr:rowOff>781050</xdr:rowOff>
    </xdr:to>
    <xdr:sp macro="" textlink="">
      <xdr:nvSpPr>
        <xdr:cNvPr id="24" name="TextBox 23">
          <a:hlinkClick xmlns:r="http://schemas.openxmlformats.org/officeDocument/2006/relationships" r:id="rId15"/>
          <a:extLst>
            <a:ext uri="{FF2B5EF4-FFF2-40B4-BE49-F238E27FC236}">
              <a16:creationId xmlns:a16="http://schemas.microsoft.com/office/drawing/2014/main" id="{00000000-0008-0000-0700-000018000000}"/>
            </a:ext>
          </a:extLst>
        </xdr:cNvPr>
        <xdr:cNvSpPr txBox="1"/>
      </xdr:nvSpPr>
      <xdr:spPr>
        <a:xfrm>
          <a:off x="3543300" y="177831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26</xdr:row>
      <xdr:rowOff>628650</xdr:rowOff>
    </xdr:from>
    <xdr:to>
      <xdr:col>3</xdr:col>
      <xdr:colOff>161925</xdr:colOff>
      <xdr:row>26</xdr:row>
      <xdr:rowOff>781050</xdr:rowOff>
    </xdr:to>
    <xdr:sp macro="" textlink="">
      <xdr:nvSpPr>
        <xdr:cNvPr id="25" name="TextBox 24">
          <a:hlinkClick xmlns:r="http://schemas.openxmlformats.org/officeDocument/2006/relationships" r:id="rId16"/>
          <a:extLst>
            <a:ext uri="{FF2B5EF4-FFF2-40B4-BE49-F238E27FC236}">
              <a16:creationId xmlns:a16="http://schemas.microsoft.com/office/drawing/2014/main" id="{00000000-0008-0000-0700-000019000000}"/>
            </a:ext>
          </a:extLst>
        </xdr:cNvPr>
        <xdr:cNvSpPr txBox="1"/>
      </xdr:nvSpPr>
      <xdr:spPr>
        <a:xfrm>
          <a:off x="3543300" y="18583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27</xdr:row>
      <xdr:rowOff>628650</xdr:rowOff>
    </xdr:from>
    <xdr:to>
      <xdr:col>3</xdr:col>
      <xdr:colOff>161925</xdr:colOff>
      <xdr:row>27</xdr:row>
      <xdr:rowOff>781050</xdr:rowOff>
    </xdr:to>
    <xdr:sp macro="" textlink="">
      <xdr:nvSpPr>
        <xdr:cNvPr id="26" name="TextBox 25">
          <a:hlinkClick xmlns:r="http://schemas.openxmlformats.org/officeDocument/2006/relationships" r:id="rId17"/>
          <a:extLst>
            <a:ext uri="{FF2B5EF4-FFF2-40B4-BE49-F238E27FC236}">
              <a16:creationId xmlns:a16="http://schemas.microsoft.com/office/drawing/2014/main" id="{00000000-0008-0000-0700-00001A000000}"/>
            </a:ext>
          </a:extLst>
        </xdr:cNvPr>
        <xdr:cNvSpPr txBox="1"/>
      </xdr:nvSpPr>
      <xdr:spPr>
        <a:xfrm>
          <a:off x="3543300" y="19383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28</xdr:row>
      <xdr:rowOff>628650</xdr:rowOff>
    </xdr:from>
    <xdr:to>
      <xdr:col>3</xdr:col>
      <xdr:colOff>161925</xdr:colOff>
      <xdr:row>28</xdr:row>
      <xdr:rowOff>781050</xdr:rowOff>
    </xdr:to>
    <xdr:sp macro="" textlink="">
      <xdr:nvSpPr>
        <xdr:cNvPr id="27" name="TextBox 26">
          <a:hlinkClick xmlns:r="http://schemas.openxmlformats.org/officeDocument/2006/relationships" r:id="rId18"/>
          <a:extLst>
            <a:ext uri="{FF2B5EF4-FFF2-40B4-BE49-F238E27FC236}">
              <a16:creationId xmlns:a16="http://schemas.microsoft.com/office/drawing/2014/main" id="{00000000-0008-0000-0700-00001B000000}"/>
            </a:ext>
          </a:extLst>
        </xdr:cNvPr>
        <xdr:cNvSpPr txBox="1"/>
      </xdr:nvSpPr>
      <xdr:spPr>
        <a:xfrm>
          <a:off x="3543300" y="20183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31</xdr:row>
      <xdr:rowOff>628650</xdr:rowOff>
    </xdr:from>
    <xdr:to>
      <xdr:col>3</xdr:col>
      <xdr:colOff>161925</xdr:colOff>
      <xdr:row>31</xdr:row>
      <xdr:rowOff>781050</xdr:rowOff>
    </xdr:to>
    <xdr:sp macro="" textlink="">
      <xdr:nvSpPr>
        <xdr:cNvPr id="28" name="TextBox 27">
          <a:hlinkClick xmlns:r="http://schemas.openxmlformats.org/officeDocument/2006/relationships" r:id="rId19"/>
          <a:extLst>
            <a:ext uri="{FF2B5EF4-FFF2-40B4-BE49-F238E27FC236}">
              <a16:creationId xmlns:a16="http://schemas.microsoft.com/office/drawing/2014/main" id="{00000000-0008-0000-0700-00001C000000}"/>
            </a:ext>
          </a:extLst>
        </xdr:cNvPr>
        <xdr:cNvSpPr txBox="1"/>
      </xdr:nvSpPr>
      <xdr:spPr>
        <a:xfrm>
          <a:off x="3543300" y="22583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29" name="TextBox 28">
          <a:hlinkClick xmlns:r="http://schemas.openxmlformats.org/officeDocument/2006/relationships" r:id="rId20"/>
          <a:extLst>
            <a:ext uri="{FF2B5EF4-FFF2-40B4-BE49-F238E27FC236}">
              <a16:creationId xmlns:a16="http://schemas.microsoft.com/office/drawing/2014/main" id="{00000000-0008-0000-0700-00001D000000}"/>
            </a:ext>
          </a:extLst>
        </xdr:cNvPr>
        <xdr:cNvSpPr txBox="1"/>
      </xdr:nvSpPr>
      <xdr:spPr>
        <a:xfrm>
          <a:off x="3543302" y="113823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29</xdr:row>
      <xdr:rowOff>628650</xdr:rowOff>
    </xdr:from>
    <xdr:to>
      <xdr:col>3</xdr:col>
      <xdr:colOff>161926</xdr:colOff>
      <xdr:row>29</xdr:row>
      <xdr:rowOff>781050</xdr:rowOff>
    </xdr:to>
    <xdr:sp macro="" textlink="">
      <xdr:nvSpPr>
        <xdr:cNvPr id="30" name="TextBox 29">
          <a:hlinkClick xmlns:r="http://schemas.openxmlformats.org/officeDocument/2006/relationships" r:id="rId21"/>
          <a:extLst>
            <a:ext uri="{FF2B5EF4-FFF2-40B4-BE49-F238E27FC236}">
              <a16:creationId xmlns:a16="http://schemas.microsoft.com/office/drawing/2014/main" id="{00000000-0008-0000-0700-00001E000000}"/>
            </a:ext>
          </a:extLst>
        </xdr:cNvPr>
        <xdr:cNvSpPr txBox="1"/>
      </xdr:nvSpPr>
      <xdr:spPr>
        <a:xfrm>
          <a:off x="3543302" y="209835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1" name="TextBox 40">
          <a:hlinkClick xmlns:r="http://schemas.openxmlformats.org/officeDocument/2006/relationships" r:id="rId22"/>
          <a:extLst>
            <a:ext uri="{FF2B5EF4-FFF2-40B4-BE49-F238E27FC236}">
              <a16:creationId xmlns:a16="http://schemas.microsoft.com/office/drawing/2014/main" id="{00000000-0008-0000-0700-000029000000}"/>
            </a:ext>
          </a:extLst>
        </xdr:cNvPr>
        <xdr:cNvSpPr txBox="1"/>
      </xdr:nvSpPr>
      <xdr:spPr>
        <a:xfrm>
          <a:off x="3543300" y="13782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7</xdr:row>
      <xdr:rowOff>628650</xdr:rowOff>
    </xdr:from>
    <xdr:to>
      <xdr:col>3</xdr:col>
      <xdr:colOff>161925</xdr:colOff>
      <xdr:row>7</xdr:row>
      <xdr:rowOff>781050</xdr:rowOff>
    </xdr:to>
    <xdr:sp macro="" textlink="">
      <xdr:nvSpPr>
        <xdr:cNvPr id="42" name="TextBox 41">
          <a:hlinkClick xmlns:r="http://schemas.openxmlformats.org/officeDocument/2006/relationships" r:id="rId23"/>
          <a:extLst>
            <a:ext uri="{FF2B5EF4-FFF2-40B4-BE49-F238E27FC236}">
              <a16:creationId xmlns:a16="http://schemas.microsoft.com/office/drawing/2014/main" id="{00000000-0008-0000-0700-00002A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8</xdr:row>
      <xdr:rowOff>628650</xdr:rowOff>
    </xdr:from>
    <xdr:to>
      <xdr:col>3</xdr:col>
      <xdr:colOff>161925</xdr:colOff>
      <xdr:row>8</xdr:row>
      <xdr:rowOff>781050</xdr:rowOff>
    </xdr:to>
    <xdr:sp macro="" textlink="">
      <xdr:nvSpPr>
        <xdr:cNvPr id="43" name="TextBox 42">
          <a:hlinkClick xmlns:r="http://schemas.openxmlformats.org/officeDocument/2006/relationships" r:id="rId24"/>
          <a:extLst>
            <a:ext uri="{FF2B5EF4-FFF2-40B4-BE49-F238E27FC236}">
              <a16:creationId xmlns:a16="http://schemas.microsoft.com/office/drawing/2014/main" id="{00000000-0008-0000-0700-00002B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44" name="TextBox 43">
          <a:hlinkClick xmlns:r="http://schemas.openxmlformats.org/officeDocument/2006/relationships" r:id="rId11"/>
          <a:extLst>
            <a:ext uri="{FF2B5EF4-FFF2-40B4-BE49-F238E27FC236}">
              <a16:creationId xmlns:a16="http://schemas.microsoft.com/office/drawing/2014/main" id="{00000000-0008-0000-0700-00002C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45" name="TextBox 44">
          <a:hlinkClick xmlns:r="http://schemas.openxmlformats.org/officeDocument/2006/relationships" r:id="rId25"/>
          <a:extLst>
            <a:ext uri="{FF2B5EF4-FFF2-40B4-BE49-F238E27FC236}">
              <a16:creationId xmlns:a16="http://schemas.microsoft.com/office/drawing/2014/main" id="{00000000-0008-0000-0700-00002D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46" name="TextBox 45">
          <a:hlinkClick xmlns:r="http://schemas.openxmlformats.org/officeDocument/2006/relationships" r:id="rId10"/>
          <a:extLst>
            <a:ext uri="{FF2B5EF4-FFF2-40B4-BE49-F238E27FC236}">
              <a16:creationId xmlns:a16="http://schemas.microsoft.com/office/drawing/2014/main" id="{00000000-0008-0000-0700-00002E000000}"/>
            </a:ext>
          </a:extLst>
        </xdr:cNvPr>
        <xdr:cNvSpPr txBox="1"/>
      </xdr:nvSpPr>
      <xdr:spPr>
        <a:xfrm>
          <a:off x="3543302" y="41814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7" name="TextBox 46">
          <a:hlinkClick xmlns:r="http://schemas.openxmlformats.org/officeDocument/2006/relationships" r:id="rId26"/>
          <a:extLst>
            <a:ext uri="{FF2B5EF4-FFF2-40B4-BE49-F238E27FC236}">
              <a16:creationId xmlns:a16="http://schemas.microsoft.com/office/drawing/2014/main" id="{00000000-0008-0000-0700-00002F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21</xdr:row>
      <xdr:rowOff>628650</xdr:rowOff>
    </xdr:from>
    <xdr:to>
      <xdr:col>3</xdr:col>
      <xdr:colOff>161925</xdr:colOff>
      <xdr:row>21</xdr:row>
      <xdr:rowOff>781050</xdr:rowOff>
    </xdr:to>
    <xdr:sp macro="" textlink="">
      <xdr:nvSpPr>
        <xdr:cNvPr id="48" name="TextBox 47">
          <a:hlinkClick xmlns:r="http://schemas.openxmlformats.org/officeDocument/2006/relationships" r:id="rId27"/>
          <a:extLst>
            <a:ext uri="{FF2B5EF4-FFF2-40B4-BE49-F238E27FC236}">
              <a16:creationId xmlns:a16="http://schemas.microsoft.com/office/drawing/2014/main" id="{00000000-0008-0000-0700-000030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35</xdr:row>
      <xdr:rowOff>790575</xdr:rowOff>
    </xdr:from>
    <xdr:to>
      <xdr:col>3</xdr:col>
      <xdr:colOff>161926</xdr:colOff>
      <xdr:row>35</xdr:row>
      <xdr:rowOff>942975</xdr:rowOff>
    </xdr:to>
    <xdr:sp macro="" textlink="">
      <xdr:nvSpPr>
        <xdr:cNvPr id="49" name="TextBox 48">
          <a:hlinkClick xmlns:r="http://schemas.openxmlformats.org/officeDocument/2006/relationships" r:id="rId28"/>
          <a:extLst>
            <a:ext uri="{FF2B5EF4-FFF2-40B4-BE49-F238E27FC236}">
              <a16:creationId xmlns:a16="http://schemas.microsoft.com/office/drawing/2014/main" id="{00000000-0008-0000-0700-000031000000}"/>
            </a:ext>
          </a:extLst>
        </xdr:cNvPr>
        <xdr:cNvSpPr txBox="1"/>
      </xdr:nvSpPr>
      <xdr:spPr>
        <a:xfrm>
          <a:off x="3543302" y="61055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37</xdr:row>
      <xdr:rowOff>790577</xdr:rowOff>
    </xdr:from>
    <xdr:to>
      <xdr:col>3</xdr:col>
      <xdr:colOff>161925</xdr:colOff>
      <xdr:row>37</xdr:row>
      <xdr:rowOff>942975</xdr:rowOff>
    </xdr:to>
    <xdr:sp macro="" textlink="">
      <xdr:nvSpPr>
        <xdr:cNvPr id="50" name="TextBox 49">
          <a:hlinkClick xmlns:r="http://schemas.openxmlformats.org/officeDocument/2006/relationships" r:id="rId29"/>
          <a:extLst>
            <a:ext uri="{FF2B5EF4-FFF2-40B4-BE49-F238E27FC236}">
              <a16:creationId xmlns:a16="http://schemas.microsoft.com/office/drawing/2014/main" id="{00000000-0008-0000-0700-000032000000}"/>
            </a:ext>
          </a:extLst>
        </xdr:cNvPr>
        <xdr:cNvSpPr txBox="1"/>
      </xdr:nvSpPr>
      <xdr:spPr>
        <a:xfrm>
          <a:off x="3533775" y="8029577"/>
          <a:ext cx="152400" cy="15239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34</xdr:row>
      <xdr:rowOff>790575</xdr:rowOff>
    </xdr:from>
    <xdr:to>
      <xdr:col>3</xdr:col>
      <xdr:colOff>152401</xdr:colOff>
      <xdr:row>34</xdr:row>
      <xdr:rowOff>942975</xdr:rowOff>
    </xdr:to>
    <xdr:sp macro="" textlink="">
      <xdr:nvSpPr>
        <xdr:cNvPr id="51" name="TextBox 50">
          <a:hlinkClick xmlns:r="http://schemas.openxmlformats.org/officeDocument/2006/relationships" r:id="rId30"/>
          <a:extLst>
            <a:ext uri="{FF2B5EF4-FFF2-40B4-BE49-F238E27FC236}">
              <a16:creationId xmlns:a16="http://schemas.microsoft.com/office/drawing/2014/main" id="{00000000-0008-0000-0700-000033000000}"/>
            </a:ext>
          </a:extLst>
        </xdr:cNvPr>
        <xdr:cNvSpPr txBox="1"/>
      </xdr:nvSpPr>
      <xdr:spPr>
        <a:xfrm>
          <a:off x="3533777" y="51435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36</xdr:row>
      <xdr:rowOff>790575</xdr:rowOff>
    </xdr:from>
    <xdr:to>
      <xdr:col>3</xdr:col>
      <xdr:colOff>161926</xdr:colOff>
      <xdr:row>36</xdr:row>
      <xdr:rowOff>942975</xdr:rowOff>
    </xdr:to>
    <xdr:sp macro="" textlink="">
      <xdr:nvSpPr>
        <xdr:cNvPr id="52" name="TextBox 51">
          <a:hlinkClick xmlns:r="http://schemas.openxmlformats.org/officeDocument/2006/relationships" r:id="rId31"/>
          <a:extLst>
            <a:ext uri="{FF2B5EF4-FFF2-40B4-BE49-F238E27FC236}">
              <a16:creationId xmlns:a16="http://schemas.microsoft.com/office/drawing/2014/main" id="{00000000-0008-0000-0700-000034000000}"/>
            </a:ext>
          </a:extLst>
        </xdr:cNvPr>
        <xdr:cNvSpPr txBox="1"/>
      </xdr:nvSpPr>
      <xdr:spPr>
        <a:xfrm>
          <a:off x="3543302" y="70675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39</xdr:row>
      <xdr:rowOff>790575</xdr:rowOff>
    </xdr:from>
    <xdr:to>
      <xdr:col>3</xdr:col>
      <xdr:colOff>152401</xdr:colOff>
      <xdr:row>39</xdr:row>
      <xdr:rowOff>942975</xdr:rowOff>
    </xdr:to>
    <xdr:sp macro="" textlink="">
      <xdr:nvSpPr>
        <xdr:cNvPr id="53" name="TextBox 52">
          <a:hlinkClick xmlns:r="http://schemas.openxmlformats.org/officeDocument/2006/relationships" r:id="rId32"/>
          <a:extLst>
            <a:ext uri="{FF2B5EF4-FFF2-40B4-BE49-F238E27FC236}">
              <a16:creationId xmlns:a16="http://schemas.microsoft.com/office/drawing/2014/main" id="{00000000-0008-0000-0700-000035000000}"/>
            </a:ext>
          </a:extLst>
        </xdr:cNvPr>
        <xdr:cNvSpPr txBox="1"/>
      </xdr:nvSpPr>
      <xdr:spPr>
        <a:xfrm>
          <a:off x="3533777" y="99536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40</xdr:row>
      <xdr:rowOff>790575</xdr:rowOff>
    </xdr:from>
    <xdr:to>
      <xdr:col>3</xdr:col>
      <xdr:colOff>161926</xdr:colOff>
      <xdr:row>40</xdr:row>
      <xdr:rowOff>942975</xdr:rowOff>
    </xdr:to>
    <xdr:sp macro="" textlink="">
      <xdr:nvSpPr>
        <xdr:cNvPr id="54" name="TextBox 53">
          <a:hlinkClick xmlns:r="http://schemas.openxmlformats.org/officeDocument/2006/relationships" r:id="rId33"/>
          <a:extLst>
            <a:ext uri="{FF2B5EF4-FFF2-40B4-BE49-F238E27FC236}">
              <a16:creationId xmlns:a16="http://schemas.microsoft.com/office/drawing/2014/main" id="{00000000-0008-0000-0700-000036000000}"/>
            </a:ext>
          </a:extLst>
        </xdr:cNvPr>
        <xdr:cNvSpPr txBox="1"/>
      </xdr:nvSpPr>
      <xdr:spPr>
        <a:xfrm>
          <a:off x="3543302" y="109156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41</xdr:row>
      <xdr:rowOff>790575</xdr:rowOff>
    </xdr:from>
    <xdr:to>
      <xdr:col>3</xdr:col>
      <xdr:colOff>152401</xdr:colOff>
      <xdr:row>41</xdr:row>
      <xdr:rowOff>942975</xdr:rowOff>
    </xdr:to>
    <xdr:sp macro="" textlink="">
      <xdr:nvSpPr>
        <xdr:cNvPr id="55" name="TextBox 54">
          <a:hlinkClick xmlns:r="http://schemas.openxmlformats.org/officeDocument/2006/relationships" r:id="rId34"/>
          <a:extLst>
            <a:ext uri="{FF2B5EF4-FFF2-40B4-BE49-F238E27FC236}">
              <a16:creationId xmlns:a16="http://schemas.microsoft.com/office/drawing/2014/main" id="{00000000-0008-0000-0700-000037000000}"/>
            </a:ext>
          </a:extLst>
        </xdr:cNvPr>
        <xdr:cNvSpPr txBox="1"/>
      </xdr:nvSpPr>
      <xdr:spPr>
        <a:xfrm>
          <a:off x="3533777" y="118776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42</xdr:row>
      <xdr:rowOff>790575</xdr:rowOff>
    </xdr:from>
    <xdr:to>
      <xdr:col>3</xdr:col>
      <xdr:colOff>161926</xdr:colOff>
      <xdr:row>42</xdr:row>
      <xdr:rowOff>942975</xdr:rowOff>
    </xdr:to>
    <xdr:sp macro="" textlink="">
      <xdr:nvSpPr>
        <xdr:cNvPr id="56" name="TextBox 55">
          <a:hlinkClick xmlns:r="http://schemas.openxmlformats.org/officeDocument/2006/relationships" r:id="rId35"/>
          <a:extLst>
            <a:ext uri="{FF2B5EF4-FFF2-40B4-BE49-F238E27FC236}">
              <a16:creationId xmlns:a16="http://schemas.microsoft.com/office/drawing/2014/main" id="{00000000-0008-0000-0700-000038000000}"/>
            </a:ext>
          </a:extLst>
        </xdr:cNvPr>
        <xdr:cNvSpPr txBox="1"/>
      </xdr:nvSpPr>
      <xdr:spPr>
        <a:xfrm>
          <a:off x="3543302" y="128397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44</xdr:row>
      <xdr:rowOff>790575</xdr:rowOff>
    </xdr:from>
    <xdr:to>
      <xdr:col>3</xdr:col>
      <xdr:colOff>152401</xdr:colOff>
      <xdr:row>44</xdr:row>
      <xdr:rowOff>942975</xdr:rowOff>
    </xdr:to>
    <xdr:sp macro="" textlink="">
      <xdr:nvSpPr>
        <xdr:cNvPr id="57" name="TextBox 56">
          <a:hlinkClick xmlns:r="http://schemas.openxmlformats.org/officeDocument/2006/relationships" r:id="rId36"/>
          <a:extLst>
            <a:ext uri="{FF2B5EF4-FFF2-40B4-BE49-F238E27FC236}">
              <a16:creationId xmlns:a16="http://schemas.microsoft.com/office/drawing/2014/main" id="{00000000-0008-0000-0700-000039000000}"/>
            </a:ext>
          </a:extLst>
        </xdr:cNvPr>
        <xdr:cNvSpPr txBox="1"/>
      </xdr:nvSpPr>
      <xdr:spPr>
        <a:xfrm>
          <a:off x="3533777" y="147637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43</xdr:row>
      <xdr:rowOff>790575</xdr:rowOff>
    </xdr:from>
    <xdr:to>
      <xdr:col>3</xdr:col>
      <xdr:colOff>152401</xdr:colOff>
      <xdr:row>43</xdr:row>
      <xdr:rowOff>942975</xdr:rowOff>
    </xdr:to>
    <xdr:sp macro="" textlink="">
      <xdr:nvSpPr>
        <xdr:cNvPr id="58" name="TextBox 57">
          <a:hlinkClick xmlns:r="http://schemas.openxmlformats.org/officeDocument/2006/relationships" r:id="rId37"/>
          <a:extLst>
            <a:ext uri="{FF2B5EF4-FFF2-40B4-BE49-F238E27FC236}">
              <a16:creationId xmlns:a16="http://schemas.microsoft.com/office/drawing/2014/main" id="{00000000-0008-0000-0700-00003A000000}"/>
            </a:ext>
          </a:extLst>
        </xdr:cNvPr>
        <xdr:cNvSpPr txBox="1"/>
      </xdr:nvSpPr>
      <xdr:spPr>
        <a:xfrm>
          <a:off x="3533777" y="138017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45</xdr:row>
      <xdr:rowOff>790575</xdr:rowOff>
    </xdr:from>
    <xdr:to>
      <xdr:col>3</xdr:col>
      <xdr:colOff>152401</xdr:colOff>
      <xdr:row>45</xdr:row>
      <xdr:rowOff>942975</xdr:rowOff>
    </xdr:to>
    <xdr:sp macro="" textlink="">
      <xdr:nvSpPr>
        <xdr:cNvPr id="59" name="TextBox 58">
          <a:hlinkClick xmlns:r="http://schemas.openxmlformats.org/officeDocument/2006/relationships" r:id="rId38"/>
          <a:extLst>
            <a:ext uri="{FF2B5EF4-FFF2-40B4-BE49-F238E27FC236}">
              <a16:creationId xmlns:a16="http://schemas.microsoft.com/office/drawing/2014/main" id="{00000000-0008-0000-0700-00003B000000}"/>
            </a:ext>
          </a:extLst>
        </xdr:cNvPr>
        <xdr:cNvSpPr txBox="1"/>
      </xdr:nvSpPr>
      <xdr:spPr>
        <a:xfrm>
          <a:off x="3533777" y="157257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46</xdr:row>
      <xdr:rowOff>790575</xdr:rowOff>
    </xdr:from>
    <xdr:to>
      <xdr:col>3</xdr:col>
      <xdr:colOff>152399</xdr:colOff>
      <xdr:row>46</xdr:row>
      <xdr:rowOff>942975</xdr:rowOff>
    </xdr:to>
    <xdr:sp macro="" textlink="">
      <xdr:nvSpPr>
        <xdr:cNvPr id="60" name="TextBox 59">
          <a:hlinkClick xmlns:r="http://schemas.openxmlformats.org/officeDocument/2006/relationships" r:id="rId39"/>
          <a:extLst>
            <a:ext uri="{FF2B5EF4-FFF2-40B4-BE49-F238E27FC236}">
              <a16:creationId xmlns:a16="http://schemas.microsoft.com/office/drawing/2014/main" id="{00000000-0008-0000-0700-00003C000000}"/>
            </a:ext>
          </a:extLst>
        </xdr:cNvPr>
        <xdr:cNvSpPr txBox="1"/>
      </xdr:nvSpPr>
      <xdr:spPr>
        <a:xfrm>
          <a:off x="3533775" y="254889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200025</xdr:colOff>
          <xdr:row>1</xdr:row>
          <xdr:rowOff>95250</xdr:rowOff>
        </xdr:from>
        <xdr:to>
          <xdr:col>2</xdr:col>
          <xdr:colOff>828675</xdr:colOff>
          <xdr:row>1</xdr:row>
          <xdr:rowOff>666750</xdr:rowOff>
        </xdr:to>
        <xdr:sp macro="" textlink="">
          <xdr:nvSpPr>
            <xdr:cNvPr id="33793" name="CommandButton1" hidden="1">
              <a:extLst>
                <a:ext uri="{63B3BB69-23CF-44E3-9099-C40C66FF867C}">
                  <a14:compatExt spid="_x0000_s33793"/>
                </a:ext>
                <a:ext uri="{FF2B5EF4-FFF2-40B4-BE49-F238E27FC236}">
                  <a16:creationId xmlns:a16="http://schemas.microsoft.com/office/drawing/2014/main" id="{00000000-0008-0000-08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xdr:row>
          <xdr:rowOff>85725</xdr:rowOff>
        </xdr:from>
        <xdr:to>
          <xdr:col>2</xdr:col>
          <xdr:colOff>809625</xdr:colOff>
          <xdr:row>2</xdr:row>
          <xdr:rowOff>647700</xdr:rowOff>
        </xdr:to>
        <xdr:sp macro="" textlink="">
          <xdr:nvSpPr>
            <xdr:cNvPr id="33794" name="CommandButton2" hidden="1">
              <a:extLst>
                <a:ext uri="{63B3BB69-23CF-44E3-9099-C40C66FF867C}">
                  <a14:compatExt spid="_x0000_s33794"/>
                </a:ext>
                <a:ext uri="{FF2B5EF4-FFF2-40B4-BE49-F238E27FC236}">
                  <a16:creationId xmlns:a16="http://schemas.microsoft.com/office/drawing/2014/main" id="{00000000-0008-0000-08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14</xdr:row>
          <xdr:rowOff>133350</xdr:rowOff>
        </xdr:from>
        <xdr:to>
          <xdr:col>2</xdr:col>
          <xdr:colOff>800100</xdr:colOff>
          <xdr:row>14</xdr:row>
          <xdr:rowOff>695325</xdr:rowOff>
        </xdr:to>
        <xdr:sp macro="" textlink="">
          <xdr:nvSpPr>
            <xdr:cNvPr id="33795" name="CommandButton3" hidden="1">
              <a:extLst>
                <a:ext uri="{63B3BB69-23CF-44E3-9099-C40C66FF867C}">
                  <a14:compatExt spid="_x0000_s33795"/>
                </a:ext>
                <a:ext uri="{FF2B5EF4-FFF2-40B4-BE49-F238E27FC236}">
                  <a16:creationId xmlns:a16="http://schemas.microsoft.com/office/drawing/2014/main" id="{00000000-0008-0000-08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15</xdr:row>
          <xdr:rowOff>114300</xdr:rowOff>
        </xdr:from>
        <xdr:to>
          <xdr:col>2</xdr:col>
          <xdr:colOff>809625</xdr:colOff>
          <xdr:row>15</xdr:row>
          <xdr:rowOff>666750</xdr:rowOff>
        </xdr:to>
        <xdr:sp macro="" textlink="">
          <xdr:nvSpPr>
            <xdr:cNvPr id="33796" name="CommandButton4" hidden="1">
              <a:extLst>
                <a:ext uri="{63B3BB69-23CF-44E3-9099-C40C66FF867C}">
                  <a14:compatExt spid="_x0000_s33796"/>
                </a:ext>
                <a:ext uri="{FF2B5EF4-FFF2-40B4-BE49-F238E27FC236}">
                  <a16:creationId xmlns:a16="http://schemas.microsoft.com/office/drawing/2014/main" id="{00000000-0008-0000-08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503997</xdr:colOff>
      <xdr:row>0</xdr:row>
      <xdr:rowOff>55907</xdr:rowOff>
    </xdr:from>
    <xdr:to>
      <xdr:col>9</xdr:col>
      <xdr:colOff>679367</xdr:colOff>
      <xdr:row>0</xdr:row>
      <xdr:rowOff>302287</xdr:rowOff>
    </xdr:to>
    <xdr:pic>
      <xdr:nvPicPr>
        <xdr:cNvPr id="10" name="Picture 9">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0543347" y="55907"/>
          <a:ext cx="1718420" cy="246380"/>
        </a:xfrm>
        <a:prstGeom prst="rect">
          <a:avLst/>
        </a:prstGeom>
      </xdr:spPr>
    </xdr:pic>
    <xdr:clientData/>
  </xdr:twoCellAnchor>
  <xdr:twoCellAnchor>
    <xdr:from>
      <xdr:col>3</xdr:col>
      <xdr:colOff>19050</xdr:colOff>
      <xdr:row>3</xdr:row>
      <xdr:rowOff>628650</xdr:rowOff>
    </xdr:from>
    <xdr:to>
      <xdr:col>3</xdr:col>
      <xdr:colOff>161925</xdr:colOff>
      <xdr:row>3</xdr:row>
      <xdr:rowOff>781050</xdr:rowOff>
    </xdr:to>
    <xdr:sp macro="" textlink="">
      <xdr:nvSpPr>
        <xdr:cNvPr id="11" name="TextBox 10">
          <a:hlinkClick xmlns:r="http://schemas.openxmlformats.org/officeDocument/2006/relationships" r:id="rId2"/>
          <a:extLst>
            <a:ext uri="{FF2B5EF4-FFF2-40B4-BE49-F238E27FC236}">
              <a16:creationId xmlns:a16="http://schemas.microsoft.com/office/drawing/2014/main" id="{00000000-0008-0000-0800-00000B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4</xdr:row>
      <xdr:rowOff>628650</xdr:rowOff>
    </xdr:from>
    <xdr:to>
      <xdr:col>3</xdr:col>
      <xdr:colOff>161925</xdr:colOff>
      <xdr:row>4</xdr:row>
      <xdr:rowOff>781050</xdr:rowOff>
    </xdr:to>
    <xdr:sp macro="" textlink="">
      <xdr:nvSpPr>
        <xdr:cNvPr id="12" name="TextBox 11">
          <a:hlinkClick xmlns:r="http://schemas.openxmlformats.org/officeDocument/2006/relationships" r:id="rId3"/>
          <a:extLst>
            <a:ext uri="{FF2B5EF4-FFF2-40B4-BE49-F238E27FC236}">
              <a16:creationId xmlns:a16="http://schemas.microsoft.com/office/drawing/2014/main" id="{00000000-0008-0000-0800-00000C000000}"/>
            </a:ext>
          </a:extLst>
        </xdr:cNvPr>
        <xdr:cNvSpPr txBox="1"/>
      </xdr:nvSpPr>
      <xdr:spPr>
        <a:xfrm>
          <a:off x="3543300" y="3381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5</xdr:row>
      <xdr:rowOff>628650</xdr:rowOff>
    </xdr:from>
    <xdr:to>
      <xdr:col>3</xdr:col>
      <xdr:colOff>161925</xdr:colOff>
      <xdr:row>5</xdr:row>
      <xdr:rowOff>781050</xdr:rowOff>
    </xdr:to>
    <xdr:sp macro="" textlink="">
      <xdr:nvSpPr>
        <xdr:cNvPr id="13" name="TextBox 12">
          <a:hlinkClick xmlns:r="http://schemas.openxmlformats.org/officeDocument/2006/relationships" r:id="rId4"/>
          <a:extLst>
            <a:ext uri="{FF2B5EF4-FFF2-40B4-BE49-F238E27FC236}">
              <a16:creationId xmlns:a16="http://schemas.microsoft.com/office/drawing/2014/main" id="{00000000-0008-0000-0800-00000D000000}"/>
            </a:ext>
          </a:extLst>
        </xdr:cNvPr>
        <xdr:cNvSpPr txBox="1"/>
      </xdr:nvSpPr>
      <xdr:spPr>
        <a:xfrm>
          <a:off x="3543300" y="4181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6</xdr:row>
      <xdr:rowOff>628650</xdr:rowOff>
    </xdr:from>
    <xdr:to>
      <xdr:col>3</xdr:col>
      <xdr:colOff>161925</xdr:colOff>
      <xdr:row>6</xdr:row>
      <xdr:rowOff>781050</xdr:rowOff>
    </xdr:to>
    <xdr:sp macro="" textlink="">
      <xdr:nvSpPr>
        <xdr:cNvPr id="14" name="TextBox 13">
          <a:hlinkClick xmlns:r="http://schemas.openxmlformats.org/officeDocument/2006/relationships" r:id="rId5"/>
          <a:extLst>
            <a:ext uri="{FF2B5EF4-FFF2-40B4-BE49-F238E27FC236}">
              <a16:creationId xmlns:a16="http://schemas.microsoft.com/office/drawing/2014/main" id="{00000000-0008-0000-0800-00000E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9</xdr:row>
      <xdr:rowOff>628650</xdr:rowOff>
    </xdr:from>
    <xdr:to>
      <xdr:col>3</xdr:col>
      <xdr:colOff>161925</xdr:colOff>
      <xdr:row>9</xdr:row>
      <xdr:rowOff>781050</xdr:rowOff>
    </xdr:to>
    <xdr:sp macro="" textlink="">
      <xdr:nvSpPr>
        <xdr:cNvPr id="15" name="TextBox 14">
          <a:hlinkClick xmlns:r="http://schemas.openxmlformats.org/officeDocument/2006/relationships" r:id="rId6"/>
          <a:extLst>
            <a:ext uri="{FF2B5EF4-FFF2-40B4-BE49-F238E27FC236}">
              <a16:creationId xmlns:a16="http://schemas.microsoft.com/office/drawing/2014/main" id="{00000000-0008-0000-0800-00000F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10</xdr:row>
      <xdr:rowOff>628650</xdr:rowOff>
    </xdr:from>
    <xdr:to>
      <xdr:col>3</xdr:col>
      <xdr:colOff>161925</xdr:colOff>
      <xdr:row>10</xdr:row>
      <xdr:rowOff>781050</xdr:rowOff>
    </xdr:to>
    <xdr:sp macro="" textlink="">
      <xdr:nvSpPr>
        <xdr:cNvPr id="16" name="TextBox 15">
          <a:hlinkClick xmlns:r="http://schemas.openxmlformats.org/officeDocument/2006/relationships" r:id="rId7"/>
          <a:extLst>
            <a:ext uri="{FF2B5EF4-FFF2-40B4-BE49-F238E27FC236}">
              <a16:creationId xmlns:a16="http://schemas.microsoft.com/office/drawing/2014/main" id="{00000000-0008-0000-0800-000010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11</xdr:row>
      <xdr:rowOff>628650</xdr:rowOff>
    </xdr:from>
    <xdr:to>
      <xdr:col>3</xdr:col>
      <xdr:colOff>161925</xdr:colOff>
      <xdr:row>11</xdr:row>
      <xdr:rowOff>781050</xdr:rowOff>
    </xdr:to>
    <xdr:sp macro="" textlink="">
      <xdr:nvSpPr>
        <xdr:cNvPr id="17" name="TextBox 16">
          <a:hlinkClick xmlns:r="http://schemas.openxmlformats.org/officeDocument/2006/relationships" r:id="rId8"/>
          <a:extLst>
            <a:ext uri="{FF2B5EF4-FFF2-40B4-BE49-F238E27FC236}">
              <a16:creationId xmlns:a16="http://schemas.microsoft.com/office/drawing/2014/main" id="{00000000-0008-0000-0800-000011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12</xdr:row>
      <xdr:rowOff>628650</xdr:rowOff>
    </xdr:from>
    <xdr:to>
      <xdr:col>3</xdr:col>
      <xdr:colOff>161925</xdr:colOff>
      <xdr:row>12</xdr:row>
      <xdr:rowOff>781050</xdr:rowOff>
    </xdr:to>
    <xdr:sp macro="" textlink="">
      <xdr:nvSpPr>
        <xdr:cNvPr id="18" name="TextBox 17">
          <a:hlinkClick xmlns:r="http://schemas.openxmlformats.org/officeDocument/2006/relationships" r:id="rId9"/>
          <a:extLst>
            <a:ext uri="{FF2B5EF4-FFF2-40B4-BE49-F238E27FC236}">
              <a16:creationId xmlns:a16="http://schemas.microsoft.com/office/drawing/2014/main" id="{00000000-0008-0000-0800-000012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19" name="TextBox 18">
          <a:hlinkClick xmlns:r="http://schemas.openxmlformats.org/officeDocument/2006/relationships" r:id="rId10"/>
          <a:extLst>
            <a:ext uri="{FF2B5EF4-FFF2-40B4-BE49-F238E27FC236}">
              <a16:creationId xmlns:a16="http://schemas.microsoft.com/office/drawing/2014/main" id="{00000000-0008-0000-0800-000013000000}"/>
            </a:ext>
          </a:extLst>
        </xdr:cNvPr>
        <xdr:cNvSpPr txBox="1"/>
      </xdr:nvSpPr>
      <xdr:spPr>
        <a:xfrm>
          <a:off x="3543300" y="12982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20" name="TextBox 19">
          <a:hlinkClick xmlns:r="http://schemas.openxmlformats.org/officeDocument/2006/relationships" r:id="rId11"/>
          <a:extLst>
            <a:ext uri="{FF2B5EF4-FFF2-40B4-BE49-F238E27FC236}">
              <a16:creationId xmlns:a16="http://schemas.microsoft.com/office/drawing/2014/main" id="{00000000-0008-0000-0800-000014000000}"/>
            </a:ext>
          </a:extLst>
        </xdr:cNvPr>
        <xdr:cNvSpPr txBox="1"/>
      </xdr:nvSpPr>
      <xdr:spPr>
        <a:xfrm>
          <a:off x="3543300" y="14582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22</xdr:row>
      <xdr:rowOff>628650</xdr:rowOff>
    </xdr:from>
    <xdr:to>
      <xdr:col>3</xdr:col>
      <xdr:colOff>161925</xdr:colOff>
      <xdr:row>22</xdr:row>
      <xdr:rowOff>781050</xdr:rowOff>
    </xdr:to>
    <xdr:sp macro="" textlink="">
      <xdr:nvSpPr>
        <xdr:cNvPr id="21" name="TextBox 20">
          <a:hlinkClick xmlns:r="http://schemas.openxmlformats.org/officeDocument/2006/relationships" r:id="rId12"/>
          <a:extLst>
            <a:ext uri="{FF2B5EF4-FFF2-40B4-BE49-F238E27FC236}">
              <a16:creationId xmlns:a16="http://schemas.microsoft.com/office/drawing/2014/main" id="{00000000-0008-0000-0800-000015000000}"/>
            </a:ext>
          </a:extLst>
        </xdr:cNvPr>
        <xdr:cNvSpPr txBox="1"/>
      </xdr:nvSpPr>
      <xdr:spPr>
        <a:xfrm>
          <a:off x="3543300" y="15382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23</xdr:row>
      <xdr:rowOff>628650</xdr:rowOff>
    </xdr:from>
    <xdr:to>
      <xdr:col>3</xdr:col>
      <xdr:colOff>161925</xdr:colOff>
      <xdr:row>23</xdr:row>
      <xdr:rowOff>781050</xdr:rowOff>
    </xdr:to>
    <xdr:sp macro="" textlink="">
      <xdr:nvSpPr>
        <xdr:cNvPr id="22" name="TextBox 21">
          <a:hlinkClick xmlns:r="http://schemas.openxmlformats.org/officeDocument/2006/relationships" r:id="rId13"/>
          <a:extLst>
            <a:ext uri="{FF2B5EF4-FFF2-40B4-BE49-F238E27FC236}">
              <a16:creationId xmlns:a16="http://schemas.microsoft.com/office/drawing/2014/main" id="{00000000-0008-0000-0800-000016000000}"/>
            </a:ext>
          </a:extLst>
        </xdr:cNvPr>
        <xdr:cNvSpPr txBox="1"/>
      </xdr:nvSpPr>
      <xdr:spPr>
        <a:xfrm>
          <a:off x="3543300" y="16182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24</xdr:row>
      <xdr:rowOff>628650</xdr:rowOff>
    </xdr:from>
    <xdr:to>
      <xdr:col>3</xdr:col>
      <xdr:colOff>161925</xdr:colOff>
      <xdr:row>24</xdr:row>
      <xdr:rowOff>781050</xdr:rowOff>
    </xdr:to>
    <xdr:sp macro="" textlink="">
      <xdr:nvSpPr>
        <xdr:cNvPr id="23" name="TextBox 22">
          <a:hlinkClick xmlns:r="http://schemas.openxmlformats.org/officeDocument/2006/relationships" r:id="rId14"/>
          <a:extLst>
            <a:ext uri="{FF2B5EF4-FFF2-40B4-BE49-F238E27FC236}">
              <a16:creationId xmlns:a16="http://schemas.microsoft.com/office/drawing/2014/main" id="{00000000-0008-0000-0800-000017000000}"/>
            </a:ext>
          </a:extLst>
        </xdr:cNvPr>
        <xdr:cNvSpPr txBox="1"/>
      </xdr:nvSpPr>
      <xdr:spPr>
        <a:xfrm>
          <a:off x="3543300" y="169830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25</xdr:row>
      <xdr:rowOff>628650</xdr:rowOff>
    </xdr:from>
    <xdr:to>
      <xdr:col>3</xdr:col>
      <xdr:colOff>161925</xdr:colOff>
      <xdr:row>25</xdr:row>
      <xdr:rowOff>781050</xdr:rowOff>
    </xdr:to>
    <xdr:sp macro="" textlink="">
      <xdr:nvSpPr>
        <xdr:cNvPr id="24" name="TextBox 23">
          <a:hlinkClick xmlns:r="http://schemas.openxmlformats.org/officeDocument/2006/relationships" r:id="rId15"/>
          <a:extLst>
            <a:ext uri="{FF2B5EF4-FFF2-40B4-BE49-F238E27FC236}">
              <a16:creationId xmlns:a16="http://schemas.microsoft.com/office/drawing/2014/main" id="{00000000-0008-0000-0800-000018000000}"/>
            </a:ext>
          </a:extLst>
        </xdr:cNvPr>
        <xdr:cNvSpPr txBox="1"/>
      </xdr:nvSpPr>
      <xdr:spPr>
        <a:xfrm>
          <a:off x="3543300" y="177831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26</xdr:row>
      <xdr:rowOff>628650</xdr:rowOff>
    </xdr:from>
    <xdr:to>
      <xdr:col>3</xdr:col>
      <xdr:colOff>161925</xdr:colOff>
      <xdr:row>26</xdr:row>
      <xdr:rowOff>781050</xdr:rowOff>
    </xdr:to>
    <xdr:sp macro="" textlink="">
      <xdr:nvSpPr>
        <xdr:cNvPr id="25" name="TextBox 24">
          <a:hlinkClick xmlns:r="http://schemas.openxmlformats.org/officeDocument/2006/relationships" r:id="rId16"/>
          <a:extLst>
            <a:ext uri="{FF2B5EF4-FFF2-40B4-BE49-F238E27FC236}">
              <a16:creationId xmlns:a16="http://schemas.microsoft.com/office/drawing/2014/main" id="{00000000-0008-0000-0800-000019000000}"/>
            </a:ext>
          </a:extLst>
        </xdr:cNvPr>
        <xdr:cNvSpPr txBox="1"/>
      </xdr:nvSpPr>
      <xdr:spPr>
        <a:xfrm>
          <a:off x="3543300" y="18583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27</xdr:row>
      <xdr:rowOff>628650</xdr:rowOff>
    </xdr:from>
    <xdr:to>
      <xdr:col>3</xdr:col>
      <xdr:colOff>161925</xdr:colOff>
      <xdr:row>27</xdr:row>
      <xdr:rowOff>781050</xdr:rowOff>
    </xdr:to>
    <xdr:sp macro="" textlink="">
      <xdr:nvSpPr>
        <xdr:cNvPr id="26" name="TextBox 25">
          <a:hlinkClick xmlns:r="http://schemas.openxmlformats.org/officeDocument/2006/relationships" r:id="rId17"/>
          <a:extLst>
            <a:ext uri="{FF2B5EF4-FFF2-40B4-BE49-F238E27FC236}">
              <a16:creationId xmlns:a16="http://schemas.microsoft.com/office/drawing/2014/main" id="{00000000-0008-0000-0800-00001A000000}"/>
            </a:ext>
          </a:extLst>
        </xdr:cNvPr>
        <xdr:cNvSpPr txBox="1"/>
      </xdr:nvSpPr>
      <xdr:spPr>
        <a:xfrm>
          <a:off x="3543300" y="19383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28</xdr:row>
      <xdr:rowOff>628650</xdr:rowOff>
    </xdr:from>
    <xdr:to>
      <xdr:col>3</xdr:col>
      <xdr:colOff>161925</xdr:colOff>
      <xdr:row>28</xdr:row>
      <xdr:rowOff>781050</xdr:rowOff>
    </xdr:to>
    <xdr:sp macro="" textlink="">
      <xdr:nvSpPr>
        <xdr:cNvPr id="27" name="TextBox 26">
          <a:hlinkClick xmlns:r="http://schemas.openxmlformats.org/officeDocument/2006/relationships" r:id="rId18"/>
          <a:extLst>
            <a:ext uri="{FF2B5EF4-FFF2-40B4-BE49-F238E27FC236}">
              <a16:creationId xmlns:a16="http://schemas.microsoft.com/office/drawing/2014/main" id="{00000000-0008-0000-0800-00001B000000}"/>
            </a:ext>
          </a:extLst>
        </xdr:cNvPr>
        <xdr:cNvSpPr txBox="1"/>
      </xdr:nvSpPr>
      <xdr:spPr>
        <a:xfrm>
          <a:off x="3543300" y="20183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31</xdr:row>
      <xdr:rowOff>628650</xdr:rowOff>
    </xdr:from>
    <xdr:to>
      <xdr:col>3</xdr:col>
      <xdr:colOff>161925</xdr:colOff>
      <xdr:row>31</xdr:row>
      <xdr:rowOff>781050</xdr:rowOff>
    </xdr:to>
    <xdr:sp macro="" textlink="">
      <xdr:nvSpPr>
        <xdr:cNvPr id="28" name="TextBox 27">
          <a:hlinkClick xmlns:r="http://schemas.openxmlformats.org/officeDocument/2006/relationships" r:id="rId19"/>
          <a:extLst>
            <a:ext uri="{FF2B5EF4-FFF2-40B4-BE49-F238E27FC236}">
              <a16:creationId xmlns:a16="http://schemas.microsoft.com/office/drawing/2014/main" id="{00000000-0008-0000-0800-00001C000000}"/>
            </a:ext>
          </a:extLst>
        </xdr:cNvPr>
        <xdr:cNvSpPr txBox="1"/>
      </xdr:nvSpPr>
      <xdr:spPr>
        <a:xfrm>
          <a:off x="3543300" y="22583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29" name="TextBox 28">
          <a:hlinkClick xmlns:r="http://schemas.openxmlformats.org/officeDocument/2006/relationships" r:id="rId20"/>
          <a:extLst>
            <a:ext uri="{FF2B5EF4-FFF2-40B4-BE49-F238E27FC236}">
              <a16:creationId xmlns:a16="http://schemas.microsoft.com/office/drawing/2014/main" id="{00000000-0008-0000-0800-00001D000000}"/>
            </a:ext>
          </a:extLst>
        </xdr:cNvPr>
        <xdr:cNvSpPr txBox="1"/>
      </xdr:nvSpPr>
      <xdr:spPr>
        <a:xfrm>
          <a:off x="3543302" y="113823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29</xdr:row>
      <xdr:rowOff>628650</xdr:rowOff>
    </xdr:from>
    <xdr:to>
      <xdr:col>3</xdr:col>
      <xdr:colOff>161926</xdr:colOff>
      <xdr:row>29</xdr:row>
      <xdr:rowOff>781050</xdr:rowOff>
    </xdr:to>
    <xdr:sp macro="" textlink="">
      <xdr:nvSpPr>
        <xdr:cNvPr id="30" name="TextBox 29">
          <a:hlinkClick xmlns:r="http://schemas.openxmlformats.org/officeDocument/2006/relationships" r:id="rId21"/>
          <a:extLst>
            <a:ext uri="{FF2B5EF4-FFF2-40B4-BE49-F238E27FC236}">
              <a16:creationId xmlns:a16="http://schemas.microsoft.com/office/drawing/2014/main" id="{00000000-0008-0000-0800-00001E000000}"/>
            </a:ext>
          </a:extLst>
        </xdr:cNvPr>
        <xdr:cNvSpPr txBox="1"/>
      </xdr:nvSpPr>
      <xdr:spPr>
        <a:xfrm>
          <a:off x="3543302" y="209835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1" name="TextBox 40">
          <a:hlinkClick xmlns:r="http://schemas.openxmlformats.org/officeDocument/2006/relationships" r:id="rId22"/>
          <a:extLst>
            <a:ext uri="{FF2B5EF4-FFF2-40B4-BE49-F238E27FC236}">
              <a16:creationId xmlns:a16="http://schemas.microsoft.com/office/drawing/2014/main" id="{00000000-0008-0000-0800-000029000000}"/>
            </a:ext>
          </a:extLst>
        </xdr:cNvPr>
        <xdr:cNvSpPr txBox="1"/>
      </xdr:nvSpPr>
      <xdr:spPr>
        <a:xfrm>
          <a:off x="3543300" y="13782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7</xdr:row>
      <xdr:rowOff>628650</xdr:rowOff>
    </xdr:from>
    <xdr:to>
      <xdr:col>3</xdr:col>
      <xdr:colOff>161925</xdr:colOff>
      <xdr:row>7</xdr:row>
      <xdr:rowOff>781050</xdr:rowOff>
    </xdr:to>
    <xdr:sp macro="" textlink="">
      <xdr:nvSpPr>
        <xdr:cNvPr id="42" name="TextBox 41">
          <a:hlinkClick xmlns:r="http://schemas.openxmlformats.org/officeDocument/2006/relationships" r:id="rId23"/>
          <a:extLst>
            <a:ext uri="{FF2B5EF4-FFF2-40B4-BE49-F238E27FC236}">
              <a16:creationId xmlns:a16="http://schemas.microsoft.com/office/drawing/2014/main" id="{00000000-0008-0000-0800-00002A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8</xdr:row>
      <xdr:rowOff>628650</xdr:rowOff>
    </xdr:from>
    <xdr:to>
      <xdr:col>3</xdr:col>
      <xdr:colOff>161925</xdr:colOff>
      <xdr:row>8</xdr:row>
      <xdr:rowOff>781050</xdr:rowOff>
    </xdr:to>
    <xdr:sp macro="" textlink="">
      <xdr:nvSpPr>
        <xdr:cNvPr id="43" name="TextBox 42">
          <a:hlinkClick xmlns:r="http://schemas.openxmlformats.org/officeDocument/2006/relationships" r:id="rId24"/>
          <a:extLst>
            <a:ext uri="{FF2B5EF4-FFF2-40B4-BE49-F238E27FC236}">
              <a16:creationId xmlns:a16="http://schemas.microsoft.com/office/drawing/2014/main" id="{00000000-0008-0000-0800-00002B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44" name="TextBox 43">
          <a:hlinkClick xmlns:r="http://schemas.openxmlformats.org/officeDocument/2006/relationships" r:id="rId11"/>
          <a:extLst>
            <a:ext uri="{FF2B5EF4-FFF2-40B4-BE49-F238E27FC236}">
              <a16:creationId xmlns:a16="http://schemas.microsoft.com/office/drawing/2014/main" id="{00000000-0008-0000-0800-00002C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45" name="TextBox 44">
          <a:hlinkClick xmlns:r="http://schemas.openxmlformats.org/officeDocument/2006/relationships" r:id="rId25"/>
          <a:extLst>
            <a:ext uri="{FF2B5EF4-FFF2-40B4-BE49-F238E27FC236}">
              <a16:creationId xmlns:a16="http://schemas.microsoft.com/office/drawing/2014/main" id="{00000000-0008-0000-0800-00002D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46" name="TextBox 45">
          <a:hlinkClick xmlns:r="http://schemas.openxmlformats.org/officeDocument/2006/relationships" r:id="rId10"/>
          <a:extLst>
            <a:ext uri="{FF2B5EF4-FFF2-40B4-BE49-F238E27FC236}">
              <a16:creationId xmlns:a16="http://schemas.microsoft.com/office/drawing/2014/main" id="{00000000-0008-0000-0800-00002E000000}"/>
            </a:ext>
          </a:extLst>
        </xdr:cNvPr>
        <xdr:cNvSpPr txBox="1"/>
      </xdr:nvSpPr>
      <xdr:spPr>
        <a:xfrm>
          <a:off x="3543302" y="41814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7" name="TextBox 46">
          <a:hlinkClick xmlns:r="http://schemas.openxmlformats.org/officeDocument/2006/relationships" r:id="rId26"/>
          <a:extLst>
            <a:ext uri="{FF2B5EF4-FFF2-40B4-BE49-F238E27FC236}">
              <a16:creationId xmlns:a16="http://schemas.microsoft.com/office/drawing/2014/main" id="{00000000-0008-0000-0800-00002F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21</xdr:row>
      <xdr:rowOff>628650</xdr:rowOff>
    </xdr:from>
    <xdr:to>
      <xdr:col>3</xdr:col>
      <xdr:colOff>161925</xdr:colOff>
      <xdr:row>21</xdr:row>
      <xdr:rowOff>781050</xdr:rowOff>
    </xdr:to>
    <xdr:sp macro="" textlink="">
      <xdr:nvSpPr>
        <xdr:cNvPr id="48" name="TextBox 47">
          <a:hlinkClick xmlns:r="http://schemas.openxmlformats.org/officeDocument/2006/relationships" r:id="rId27"/>
          <a:extLst>
            <a:ext uri="{FF2B5EF4-FFF2-40B4-BE49-F238E27FC236}">
              <a16:creationId xmlns:a16="http://schemas.microsoft.com/office/drawing/2014/main" id="{00000000-0008-0000-0800-000030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35</xdr:row>
      <xdr:rowOff>790575</xdr:rowOff>
    </xdr:from>
    <xdr:to>
      <xdr:col>3</xdr:col>
      <xdr:colOff>161926</xdr:colOff>
      <xdr:row>35</xdr:row>
      <xdr:rowOff>942975</xdr:rowOff>
    </xdr:to>
    <xdr:sp macro="" textlink="">
      <xdr:nvSpPr>
        <xdr:cNvPr id="49" name="TextBox 48">
          <a:hlinkClick xmlns:r="http://schemas.openxmlformats.org/officeDocument/2006/relationships" r:id="rId28"/>
          <a:extLst>
            <a:ext uri="{FF2B5EF4-FFF2-40B4-BE49-F238E27FC236}">
              <a16:creationId xmlns:a16="http://schemas.microsoft.com/office/drawing/2014/main" id="{00000000-0008-0000-0800-000031000000}"/>
            </a:ext>
          </a:extLst>
        </xdr:cNvPr>
        <xdr:cNvSpPr txBox="1"/>
      </xdr:nvSpPr>
      <xdr:spPr>
        <a:xfrm>
          <a:off x="3543302" y="61055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37</xdr:row>
      <xdr:rowOff>790577</xdr:rowOff>
    </xdr:from>
    <xdr:to>
      <xdr:col>3</xdr:col>
      <xdr:colOff>161925</xdr:colOff>
      <xdr:row>37</xdr:row>
      <xdr:rowOff>942975</xdr:rowOff>
    </xdr:to>
    <xdr:sp macro="" textlink="">
      <xdr:nvSpPr>
        <xdr:cNvPr id="50" name="TextBox 49">
          <a:hlinkClick xmlns:r="http://schemas.openxmlformats.org/officeDocument/2006/relationships" r:id="rId29"/>
          <a:extLst>
            <a:ext uri="{FF2B5EF4-FFF2-40B4-BE49-F238E27FC236}">
              <a16:creationId xmlns:a16="http://schemas.microsoft.com/office/drawing/2014/main" id="{00000000-0008-0000-0800-000032000000}"/>
            </a:ext>
          </a:extLst>
        </xdr:cNvPr>
        <xdr:cNvSpPr txBox="1"/>
      </xdr:nvSpPr>
      <xdr:spPr>
        <a:xfrm>
          <a:off x="3533775" y="8029577"/>
          <a:ext cx="152400" cy="15239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34</xdr:row>
      <xdr:rowOff>790575</xdr:rowOff>
    </xdr:from>
    <xdr:to>
      <xdr:col>3</xdr:col>
      <xdr:colOff>152401</xdr:colOff>
      <xdr:row>34</xdr:row>
      <xdr:rowOff>942975</xdr:rowOff>
    </xdr:to>
    <xdr:sp macro="" textlink="">
      <xdr:nvSpPr>
        <xdr:cNvPr id="51" name="TextBox 50">
          <a:hlinkClick xmlns:r="http://schemas.openxmlformats.org/officeDocument/2006/relationships" r:id="rId30"/>
          <a:extLst>
            <a:ext uri="{FF2B5EF4-FFF2-40B4-BE49-F238E27FC236}">
              <a16:creationId xmlns:a16="http://schemas.microsoft.com/office/drawing/2014/main" id="{00000000-0008-0000-0800-000033000000}"/>
            </a:ext>
          </a:extLst>
        </xdr:cNvPr>
        <xdr:cNvSpPr txBox="1"/>
      </xdr:nvSpPr>
      <xdr:spPr>
        <a:xfrm>
          <a:off x="3533777" y="51435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36</xdr:row>
      <xdr:rowOff>790575</xdr:rowOff>
    </xdr:from>
    <xdr:to>
      <xdr:col>3</xdr:col>
      <xdr:colOff>161926</xdr:colOff>
      <xdr:row>36</xdr:row>
      <xdr:rowOff>942975</xdr:rowOff>
    </xdr:to>
    <xdr:sp macro="" textlink="">
      <xdr:nvSpPr>
        <xdr:cNvPr id="52" name="TextBox 51">
          <a:hlinkClick xmlns:r="http://schemas.openxmlformats.org/officeDocument/2006/relationships" r:id="rId31"/>
          <a:extLst>
            <a:ext uri="{FF2B5EF4-FFF2-40B4-BE49-F238E27FC236}">
              <a16:creationId xmlns:a16="http://schemas.microsoft.com/office/drawing/2014/main" id="{00000000-0008-0000-0800-000034000000}"/>
            </a:ext>
          </a:extLst>
        </xdr:cNvPr>
        <xdr:cNvSpPr txBox="1"/>
      </xdr:nvSpPr>
      <xdr:spPr>
        <a:xfrm>
          <a:off x="3543302" y="70675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39</xdr:row>
      <xdr:rowOff>790575</xdr:rowOff>
    </xdr:from>
    <xdr:to>
      <xdr:col>3</xdr:col>
      <xdr:colOff>152401</xdr:colOff>
      <xdr:row>39</xdr:row>
      <xdr:rowOff>942975</xdr:rowOff>
    </xdr:to>
    <xdr:sp macro="" textlink="">
      <xdr:nvSpPr>
        <xdr:cNvPr id="53" name="TextBox 52">
          <a:hlinkClick xmlns:r="http://schemas.openxmlformats.org/officeDocument/2006/relationships" r:id="rId32"/>
          <a:extLst>
            <a:ext uri="{FF2B5EF4-FFF2-40B4-BE49-F238E27FC236}">
              <a16:creationId xmlns:a16="http://schemas.microsoft.com/office/drawing/2014/main" id="{00000000-0008-0000-0800-000035000000}"/>
            </a:ext>
          </a:extLst>
        </xdr:cNvPr>
        <xdr:cNvSpPr txBox="1"/>
      </xdr:nvSpPr>
      <xdr:spPr>
        <a:xfrm>
          <a:off x="3533777" y="99536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40</xdr:row>
      <xdr:rowOff>790575</xdr:rowOff>
    </xdr:from>
    <xdr:to>
      <xdr:col>3</xdr:col>
      <xdr:colOff>161926</xdr:colOff>
      <xdr:row>40</xdr:row>
      <xdr:rowOff>942975</xdr:rowOff>
    </xdr:to>
    <xdr:sp macro="" textlink="">
      <xdr:nvSpPr>
        <xdr:cNvPr id="54" name="TextBox 53">
          <a:hlinkClick xmlns:r="http://schemas.openxmlformats.org/officeDocument/2006/relationships" r:id="rId33"/>
          <a:extLst>
            <a:ext uri="{FF2B5EF4-FFF2-40B4-BE49-F238E27FC236}">
              <a16:creationId xmlns:a16="http://schemas.microsoft.com/office/drawing/2014/main" id="{00000000-0008-0000-0800-000036000000}"/>
            </a:ext>
          </a:extLst>
        </xdr:cNvPr>
        <xdr:cNvSpPr txBox="1"/>
      </xdr:nvSpPr>
      <xdr:spPr>
        <a:xfrm>
          <a:off x="3543302" y="109156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41</xdr:row>
      <xdr:rowOff>790575</xdr:rowOff>
    </xdr:from>
    <xdr:to>
      <xdr:col>3</xdr:col>
      <xdr:colOff>152401</xdr:colOff>
      <xdr:row>41</xdr:row>
      <xdr:rowOff>942975</xdr:rowOff>
    </xdr:to>
    <xdr:sp macro="" textlink="">
      <xdr:nvSpPr>
        <xdr:cNvPr id="55" name="TextBox 54">
          <a:hlinkClick xmlns:r="http://schemas.openxmlformats.org/officeDocument/2006/relationships" r:id="rId34"/>
          <a:extLst>
            <a:ext uri="{FF2B5EF4-FFF2-40B4-BE49-F238E27FC236}">
              <a16:creationId xmlns:a16="http://schemas.microsoft.com/office/drawing/2014/main" id="{00000000-0008-0000-0800-000037000000}"/>
            </a:ext>
          </a:extLst>
        </xdr:cNvPr>
        <xdr:cNvSpPr txBox="1"/>
      </xdr:nvSpPr>
      <xdr:spPr>
        <a:xfrm>
          <a:off x="3533777" y="118776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42</xdr:row>
      <xdr:rowOff>790575</xdr:rowOff>
    </xdr:from>
    <xdr:to>
      <xdr:col>3</xdr:col>
      <xdr:colOff>161926</xdr:colOff>
      <xdr:row>42</xdr:row>
      <xdr:rowOff>942975</xdr:rowOff>
    </xdr:to>
    <xdr:sp macro="" textlink="">
      <xdr:nvSpPr>
        <xdr:cNvPr id="56" name="TextBox 55">
          <a:hlinkClick xmlns:r="http://schemas.openxmlformats.org/officeDocument/2006/relationships" r:id="rId35"/>
          <a:extLst>
            <a:ext uri="{FF2B5EF4-FFF2-40B4-BE49-F238E27FC236}">
              <a16:creationId xmlns:a16="http://schemas.microsoft.com/office/drawing/2014/main" id="{00000000-0008-0000-0800-000038000000}"/>
            </a:ext>
          </a:extLst>
        </xdr:cNvPr>
        <xdr:cNvSpPr txBox="1"/>
      </xdr:nvSpPr>
      <xdr:spPr>
        <a:xfrm>
          <a:off x="3543302" y="128397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44</xdr:row>
      <xdr:rowOff>790575</xdr:rowOff>
    </xdr:from>
    <xdr:to>
      <xdr:col>3</xdr:col>
      <xdr:colOff>152401</xdr:colOff>
      <xdr:row>44</xdr:row>
      <xdr:rowOff>942975</xdr:rowOff>
    </xdr:to>
    <xdr:sp macro="" textlink="">
      <xdr:nvSpPr>
        <xdr:cNvPr id="57" name="TextBox 56">
          <a:hlinkClick xmlns:r="http://schemas.openxmlformats.org/officeDocument/2006/relationships" r:id="rId36"/>
          <a:extLst>
            <a:ext uri="{FF2B5EF4-FFF2-40B4-BE49-F238E27FC236}">
              <a16:creationId xmlns:a16="http://schemas.microsoft.com/office/drawing/2014/main" id="{00000000-0008-0000-0800-000039000000}"/>
            </a:ext>
          </a:extLst>
        </xdr:cNvPr>
        <xdr:cNvSpPr txBox="1"/>
      </xdr:nvSpPr>
      <xdr:spPr>
        <a:xfrm>
          <a:off x="3533777" y="147637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43</xdr:row>
      <xdr:rowOff>790575</xdr:rowOff>
    </xdr:from>
    <xdr:to>
      <xdr:col>3</xdr:col>
      <xdr:colOff>152401</xdr:colOff>
      <xdr:row>43</xdr:row>
      <xdr:rowOff>942975</xdr:rowOff>
    </xdr:to>
    <xdr:sp macro="" textlink="">
      <xdr:nvSpPr>
        <xdr:cNvPr id="58" name="TextBox 57">
          <a:hlinkClick xmlns:r="http://schemas.openxmlformats.org/officeDocument/2006/relationships" r:id="rId37"/>
          <a:extLst>
            <a:ext uri="{FF2B5EF4-FFF2-40B4-BE49-F238E27FC236}">
              <a16:creationId xmlns:a16="http://schemas.microsoft.com/office/drawing/2014/main" id="{00000000-0008-0000-0800-00003A000000}"/>
            </a:ext>
          </a:extLst>
        </xdr:cNvPr>
        <xdr:cNvSpPr txBox="1"/>
      </xdr:nvSpPr>
      <xdr:spPr>
        <a:xfrm>
          <a:off x="3533777" y="138017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45</xdr:row>
      <xdr:rowOff>790575</xdr:rowOff>
    </xdr:from>
    <xdr:to>
      <xdr:col>3</xdr:col>
      <xdr:colOff>152401</xdr:colOff>
      <xdr:row>45</xdr:row>
      <xdr:rowOff>942975</xdr:rowOff>
    </xdr:to>
    <xdr:sp macro="" textlink="">
      <xdr:nvSpPr>
        <xdr:cNvPr id="59" name="TextBox 58">
          <a:hlinkClick xmlns:r="http://schemas.openxmlformats.org/officeDocument/2006/relationships" r:id="rId38"/>
          <a:extLst>
            <a:ext uri="{FF2B5EF4-FFF2-40B4-BE49-F238E27FC236}">
              <a16:creationId xmlns:a16="http://schemas.microsoft.com/office/drawing/2014/main" id="{00000000-0008-0000-0800-00003B000000}"/>
            </a:ext>
          </a:extLst>
        </xdr:cNvPr>
        <xdr:cNvSpPr txBox="1"/>
      </xdr:nvSpPr>
      <xdr:spPr>
        <a:xfrm>
          <a:off x="3533777" y="157257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46</xdr:row>
      <xdr:rowOff>790575</xdr:rowOff>
    </xdr:from>
    <xdr:to>
      <xdr:col>3</xdr:col>
      <xdr:colOff>152399</xdr:colOff>
      <xdr:row>46</xdr:row>
      <xdr:rowOff>942975</xdr:rowOff>
    </xdr:to>
    <xdr:sp macro="" textlink="">
      <xdr:nvSpPr>
        <xdr:cNvPr id="60" name="TextBox 59">
          <a:hlinkClick xmlns:r="http://schemas.openxmlformats.org/officeDocument/2006/relationships" r:id="rId39"/>
          <a:extLst>
            <a:ext uri="{FF2B5EF4-FFF2-40B4-BE49-F238E27FC236}">
              <a16:creationId xmlns:a16="http://schemas.microsoft.com/office/drawing/2014/main" id="{00000000-0008-0000-0800-00003C000000}"/>
            </a:ext>
          </a:extLst>
        </xdr:cNvPr>
        <xdr:cNvSpPr txBox="1"/>
      </xdr:nvSpPr>
      <xdr:spPr>
        <a:xfrm>
          <a:off x="3533775" y="254889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200025</xdr:colOff>
          <xdr:row>1</xdr:row>
          <xdr:rowOff>95250</xdr:rowOff>
        </xdr:from>
        <xdr:to>
          <xdr:col>2</xdr:col>
          <xdr:colOff>828675</xdr:colOff>
          <xdr:row>1</xdr:row>
          <xdr:rowOff>666750</xdr:rowOff>
        </xdr:to>
        <xdr:sp macro="" textlink="">
          <xdr:nvSpPr>
            <xdr:cNvPr id="34817" name="CommandButton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xdr:row>
          <xdr:rowOff>85725</xdr:rowOff>
        </xdr:from>
        <xdr:to>
          <xdr:col>2</xdr:col>
          <xdr:colOff>809625</xdr:colOff>
          <xdr:row>2</xdr:row>
          <xdr:rowOff>647700</xdr:rowOff>
        </xdr:to>
        <xdr:sp macro="" textlink="">
          <xdr:nvSpPr>
            <xdr:cNvPr id="34818" name="CommandButton2" hidden="1">
              <a:extLst>
                <a:ext uri="{63B3BB69-23CF-44E3-9099-C40C66FF867C}">
                  <a14:compatExt spid="_x0000_s34818"/>
                </a:ext>
                <a:ext uri="{FF2B5EF4-FFF2-40B4-BE49-F238E27FC236}">
                  <a16:creationId xmlns:a16="http://schemas.microsoft.com/office/drawing/2014/main" id="{00000000-0008-0000-09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14</xdr:row>
          <xdr:rowOff>133350</xdr:rowOff>
        </xdr:from>
        <xdr:to>
          <xdr:col>2</xdr:col>
          <xdr:colOff>800100</xdr:colOff>
          <xdr:row>14</xdr:row>
          <xdr:rowOff>695325</xdr:rowOff>
        </xdr:to>
        <xdr:sp macro="" textlink="">
          <xdr:nvSpPr>
            <xdr:cNvPr id="34819" name="CommandButton3" hidden="1">
              <a:extLst>
                <a:ext uri="{63B3BB69-23CF-44E3-9099-C40C66FF867C}">
                  <a14:compatExt spid="_x0000_s34819"/>
                </a:ext>
                <a:ext uri="{FF2B5EF4-FFF2-40B4-BE49-F238E27FC236}">
                  <a16:creationId xmlns:a16="http://schemas.microsoft.com/office/drawing/2014/main" id="{00000000-0008-0000-09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15</xdr:row>
          <xdr:rowOff>114300</xdr:rowOff>
        </xdr:from>
        <xdr:to>
          <xdr:col>2</xdr:col>
          <xdr:colOff>809625</xdr:colOff>
          <xdr:row>15</xdr:row>
          <xdr:rowOff>666750</xdr:rowOff>
        </xdr:to>
        <xdr:sp macro="" textlink="">
          <xdr:nvSpPr>
            <xdr:cNvPr id="34820" name="CommandButton4" hidden="1">
              <a:extLst>
                <a:ext uri="{63B3BB69-23CF-44E3-9099-C40C66FF867C}">
                  <a14:compatExt spid="_x0000_s34820"/>
                </a:ext>
                <a:ext uri="{FF2B5EF4-FFF2-40B4-BE49-F238E27FC236}">
                  <a16:creationId xmlns:a16="http://schemas.microsoft.com/office/drawing/2014/main" id="{00000000-0008-0000-09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503997</xdr:colOff>
      <xdr:row>0</xdr:row>
      <xdr:rowOff>55907</xdr:rowOff>
    </xdr:from>
    <xdr:to>
      <xdr:col>9</xdr:col>
      <xdr:colOff>679367</xdr:colOff>
      <xdr:row>0</xdr:row>
      <xdr:rowOff>302287</xdr:rowOff>
    </xdr:to>
    <xdr:pic>
      <xdr:nvPicPr>
        <xdr:cNvPr id="10" name="Picture 9">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0543347" y="55907"/>
          <a:ext cx="1718420" cy="246380"/>
        </a:xfrm>
        <a:prstGeom prst="rect">
          <a:avLst/>
        </a:prstGeom>
      </xdr:spPr>
    </xdr:pic>
    <xdr:clientData/>
  </xdr:twoCellAnchor>
  <xdr:twoCellAnchor>
    <xdr:from>
      <xdr:col>3</xdr:col>
      <xdr:colOff>19050</xdr:colOff>
      <xdr:row>3</xdr:row>
      <xdr:rowOff>628650</xdr:rowOff>
    </xdr:from>
    <xdr:to>
      <xdr:col>3</xdr:col>
      <xdr:colOff>161925</xdr:colOff>
      <xdr:row>3</xdr:row>
      <xdr:rowOff>781050</xdr:rowOff>
    </xdr:to>
    <xdr:sp macro="" textlink="">
      <xdr:nvSpPr>
        <xdr:cNvPr id="11" name="TextBox 10">
          <a:hlinkClick xmlns:r="http://schemas.openxmlformats.org/officeDocument/2006/relationships" r:id="rId2"/>
          <a:extLst>
            <a:ext uri="{FF2B5EF4-FFF2-40B4-BE49-F238E27FC236}">
              <a16:creationId xmlns:a16="http://schemas.microsoft.com/office/drawing/2014/main" id="{00000000-0008-0000-0900-00000B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4</xdr:row>
      <xdr:rowOff>628650</xdr:rowOff>
    </xdr:from>
    <xdr:to>
      <xdr:col>3</xdr:col>
      <xdr:colOff>161925</xdr:colOff>
      <xdr:row>4</xdr:row>
      <xdr:rowOff>781050</xdr:rowOff>
    </xdr:to>
    <xdr:sp macro="" textlink="">
      <xdr:nvSpPr>
        <xdr:cNvPr id="12" name="TextBox 11">
          <a:hlinkClick xmlns:r="http://schemas.openxmlformats.org/officeDocument/2006/relationships" r:id="rId3"/>
          <a:extLst>
            <a:ext uri="{FF2B5EF4-FFF2-40B4-BE49-F238E27FC236}">
              <a16:creationId xmlns:a16="http://schemas.microsoft.com/office/drawing/2014/main" id="{00000000-0008-0000-0900-00000C000000}"/>
            </a:ext>
          </a:extLst>
        </xdr:cNvPr>
        <xdr:cNvSpPr txBox="1"/>
      </xdr:nvSpPr>
      <xdr:spPr>
        <a:xfrm>
          <a:off x="3543300" y="3381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5</xdr:row>
      <xdr:rowOff>628650</xdr:rowOff>
    </xdr:from>
    <xdr:to>
      <xdr:col>3</xdr:col>
      <xdr:colOff>161925</xdr:colOff>
      <xdr:row>5</xdr:row>
      <xdr:rowOff>781050</xdr:rowOff>
    </xdr:to>
    <xdr:sp macro="" textlink="">
      <xdr:nvSpPr>
        <xdr:cNvPr id="13" name="TextBox 12">
          <a:hlinkClick xmlns:r="http://schemas.openxmlformats.org/officeDocument/2006/relationships" r:id="rId4"/>
          <a:extLst>
            <a:ext uri="{FF2B5EF4-FFF2-40B4-BE49-F238E27FC236}">
              <a16:creationId xmlns:a16="http://schemas.microsoft.com/office/drawing/2014/main" id="{00000000-0008-0000-0900-00000D000000}"/>
            </a:ext>
          </a:extLst>
        </xdr:cNvPr>
        <xdr:cNvSpPr txBox="1"/>
      </xdr:nvSpPr>
      <xdr:spPr>
        <a:xfrm>
          <a:off x="3543300" y="4181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6</xdr:row>
      <xdr:rowOff>628650</xdr:rowOff>
    </xdr:from>
    <xdr:to>
      <xdr:col>3</xdr:col>
      <xdr:colOff>161925</xdr:colOff>
      <xdr:row>6</xdr:row>
      <xdr:rowOff>781050</xdr:rowOff>
    </xdr:to>
    <xdr:sp macro="" textlink="">
      <xdr:nvSpPr>
        <xdr:cNvPr id="14" name="TextBox 13">
          <a:hlinkClick xmlns:r="http://schemas.openxmlformats.org/officeDocument/2006/relationships" r:id="rId5"/>
          <a:extLst>
            <a:ext uri="{FF2B5EF4-FFF2-40B4-BE49-F238E27FC236}">
              <a16:creationId xmlns:a16="http://schemas.microsoft.com/office/drawing/2014/main" id="{00000000-0008-0000-0900-00000E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9</xdr:row>
      <xdr:rowOff>628650</xdr:rowOff>
    </xdr:from>
    <xdr:to>
      <xdr:col>3</xdr:col>
      <xdr:colOff>161925</xdr:colOff>
      <xdr:row>9</xdr:row>
      <xdr:rowOff>781050</xdr:rowOff>
    </xdr:to>
    <xdr:sp macro="" textlink="">
      <xdr:nvSpPr>
        <xdr:cNvPr id="15" name="TextBox 14">
          <a:hlinkClick xmlns:r="http://schemas.openxmlformats.org/officeDocument/2006/relationships" r:id="rId6"/>
          <a:extLst>
            <a:ext uri="{FF2B5EF4-FFF2-40B4-BE49-F238E27FC236}">
              <a16:creationId xmlns:a16="http://schemas.microsoft.com/office/drawing/2014/main" id="{00000000-0008-0000-0900-00000F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10</xdr:row>
      <xdr:rowOff>628650</xdr:rowOff>
    </xdr:from>
    <xdr:to>
      <xdr:col>3</xdr:col>
      <xdr:colOff>161925</xdr:colOff>
      <xdr:row>10</xdr:row>
      <xdr:rowOff>781050</xdr:rowOff>
    </xdr:to>
    <xdr:sp macro="" textlink="">
      <xdr:nvSpPr>
        <xdr:cNvPr id="16" name="TextBox 15">
          <a:hlinkClick xmlns:r="http://schemas.openxmlformats.org/officeDocument/2006/relationships" r:id="rId7"/>
          <a:extLst>
            <a:ext uri="{FF2B5EF4-FFF2-40B4-BE49-F238E27FC236}">
              <a16:creationId xmlns:a16="http://schemas.microsoft.com/office/drawing/2014/main" id="{00000000-0008-0000-0900-000010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11</xdr:row>
      <xdr:rowOff>628650</xdr:rowOff>
    </xdr:from>
    <xdr:to>
      <xdr:col>3</xdr:col>
      <xdr:colOff>161925</xdr:colOff>
      <xdr:row>11</xdr:row>
      <xdr:rowOff>781050</xdr:rowOff>
    </xdr:to>
    <xdr:sp macro="" textlink="">
      <xdr:nvSpPr>
        <xdr:cNvPr id="17" name="TextBox 16">
          <a:hlinkClick xmlns:r="http://schemas.openxmlformats.org/officeDocument/2006/relationships" r:id="rId8"/>
          <a:extLst>
            <a:ext uri="{FF2B5EF4-FFF2-40B4-BE49-F238E27FC236}">
              <a16:creationId xmlns:a16="http://schemas.microsoft.com/office/drawing/2014/main" id="{00000000-0008-0000-0900-000011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12</xdr:row>
      <xdr:rowOff>628650</xdr:rowOff>
    </xdr:from>
    <xdr:to>
      <xdr:col>3</xdr:col>
      <xdr:colOff>161925</xdr:colOff>
      <xdr:row>12</xdr:row>
      <xdr:rowOff>781050</xdr:rowOff>
    </xdr:to>
    <xdr:sp macro="" textlink="">
      <xdr:nvSpPr>
        <xdr:cNvPr id="18" name="TextBox 17">
          <a:hlinkClick xmlns:r="http://schemas.openxmlformats.org/officeDocument/2006/relationships" r:id="rId9"/>
          <a:extLst>
            <a:ext uri="{FF2B5EF4-FFF2-40B4-BE49-F238E27FC236}">
              <a16:creationId xmlns:a16="http://schemas.microsoft.com/office/drawing/2014/main" id="{00000000-0008-0000-0900-000012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19" name="TextBox 18">
          <a:hlinkClick xmlns:r="http://schemas.openxmlformats.org/officeDocument/2006/relationships" r:id="rId10"/>
          <a:extLst>
            <a:ext uri="{FF2B5EF4-FFF2-40B4-BE49-F238E27FC236}">
              <a16:creationId xmlns:a16="http://schemas.microsoft.com/office/drawing/2014/main" id="{00000000-0008-0000-0900-000013000000}"/>
            </a:ext>
          </a:extLst>
        </xdr:cNvPr>
        <xdr:cNvSpPr txBox="1"/>
      </xdr:nvSpPr>
      <xdr:spPr>
        <a:xfrm>
          <a:off x="3543300" y="12982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20" name="TextBox 19">
          <a:hlinkClick xmlns:r="http://schemas.openxmlformats.org/officeDocument/2006/relationships" r:id="rId11"/>
          <a:extLst>
            <a:ext uri="{FF2B5EF4-FFF2-40B4-BE49-F238E27FC236}">
              <a16:creationId xmlns:a16="http://schemas.microsoft.com/office/drawing/2014/main" id="{00000000-0008-0000-0900-000014000000}"/>
            </a:ext>
          </a:extLst>
        </xdr:cNvPr>
        <xdr:cNvSpPr txBox="1"/>
      </xdr:nvSpPr>
      <xdr:spPr>
        <a:xfrm>
          <a:off x="3543300" y="14582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22</xdr:row>
      <xdr:rowOff>628650</xdr:rowOff>
    </xdr:from>
    <xdr:to>
      <xdr:col>3</xdr:col>
      <xdr:colOff>161925</xdr:colOff>
      <xdr:row>22</xdr:row>
      <xdr:rowOff>781050</xdr:rowOff>
    </xdr:to>
    <xdr:sp macro="" textlink="">
      <xdr:nvSpPr>
        <xdr:cNvPr id="21" name="TextBox 20">
          <a:hlinkClick xmlns:r="http://schemas.openxmlformats.org/officeDocument/2006/relationships" r:id="rId12"/>
          <a:extLst>
            <a:ext uri="{FF2B5EF4-FFF2-40B4-BE49-F238E27FC236}">
              <a16:creationId xmlns:a16="http://schemas.microsoft.com/office/drawing/2014/main" id="{00000000-0008-0000-0900-000015000000}"/>
            </a:ext>
          </a:extLst>
        </xdr:cNvPr>
        <xdr:cNvSpPr txBox="1"/>
      </xdr:nvSpPr>
      <xdr:spPr>
        <a:xfrm>
          <a:off x="3543300" y="15382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23</xdr:row>
      <xdr:rowOff>628650</xdr:rowOff>
    </xdr:from>
    <xdr:to>
      <xdr:col>3</xdr:col>
      <xdr:colOff>161925</xdr:colOff>
      <xdr:row>23</xdr:row>
      <xdr:rowOff>781050</xdr:rowOff>
    </xdr:to>
    <xdr:sp macro="" textlink="">
      <xdr:nvSpPr>
        <xdr:cNvPr id="22" name="TextBox 21">
          <a:hlinkClick xmlns:r="http://schemas.openxmlformats.org/officeDocument/2006/relationships" r:id="rId13"/>
          <a:extLst>
            <a:ext uri="{FF2B5EF4-FFF2-40B4-BE49-F238E27FC236}">
              <a16:creationId xmlns:a16="http://schemas.microsoft.com/office/drawing/2014/main" id="{00000000-0008-0000-0900-000016000000}"/>
            </a:ext>
          </a:extLst>
        </xdr:cNvPr>
        <xdr:cNvSpPr txBox="1"/>
      </xdr:nvSpPr>
      <xdr:spPr>
        <a:xfrm>
          <a:off x="3543300" y="16182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24</xdr:row>
      <xdr:rowOff>628650</xdr:rowOff>
    </xdr:from>
    <xdr:to>
      <xdr:col>3</xdr:col>
      <xdr:colOff>161925</xdr:colOff>
      <xdr:row>24</xdr:row>
      <xdr:rowOff>781050</xdr:rowOff>
    </xdr:to>
    <xdr:sp macro="" textlink="">
      <xdr:nvSpPr>
        <xdr:cNvPr id="23" name="TextBox 22">
          <a:hlinkClick xmlns:r="http://schemas.openxmlformats.org/officeDocument/2006/relationships" r:id="rId14"/>
          <a:extLst>
            <a:ext uri="{FF2B5EF4-FFF2-40B4-BE49-F238E27FC236}">
              <a16:creationId xmlns:a16="http://schemas.microsoft.com/office/drawing/2014/main" id="{00000000-0008-0000-0900-000017000000}"/>
            </a:ext>
          </a:extLst>
        </xdr:cNvPr>
        <xdr:cNvSpPr txBox="1"/>
      </xdr:nvSpPr>
      <xdr:spPr>
        <a:xfrm>
          <a:off x="3543300" y="169830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25</xdr:row>
      <xdr:rowOff>628650</xdr:rowOff>
    </xdr:from>
    <xdr:to>
      <xdr:col>3</xdr:col>
      <xdr:colOff>161925</xdr:colOff>
      <xdr:row>25</xdr:row>
      <xdr:rowOff>781050</xdr:rowOff>
    </xdr:to>
    <xdr:sp macro="" textlink="">
      <xdr:nvSpPr>
        <xdr:cNvPr id="24" name="TextBox 23">
          <a:hlinkClick xmlns:r="http://schemas.openxmlformats.org/officeDocument/2006/relationships" r:id="rId15"/>
          <a:extLst>
            <a:ext uri="{FF2B5EF4-FFF2-40B4-BE49-F238E27FC236}">
              <a16:creationId xmlns:a16="http://schemas.microsoft.com/office/drawing/2014/main" id="{00000000-0008-0000-0900-000018000000}"/>
            </a:ext>
          </a:extLst>
        </xdr:cNvPr>
        <xdr:cNvSpPr txBox="1"/>
      </xdr:nvSpPr>
      <xdr:spPr>
        <a:xfrm>
          <a:off x="3543300" y="177831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26</xdr:row>
      <xdr:rowOff>628650</xdr:rowOff>
    </xdr:from>
    <xdr:to>
      <xdr:col>3</xdr:col>
      <xdr:colOff>161925</xdr:colOff>
      <xdr:row>26</xdr:row>
      <xdr:rowOff>781050</xdr:rowOff>
    </xdr:to>
    <xdr:sp macro="" textlink="">
      <xdr:nvSpPr>
        <xdr:cNvPr id="25" name="TextBox 24">
          <a:hlinkClick xmlns:r="http://schemas.openxmlformats.org/officeDocument/2006/relationships" r:id="rId16"/>
          <a:extLst>
            <a:ext uri="{FF2B5EF4-FFF2-40B4-BE49-F238E27FC236}">
              <a16:creationId xmlns:a16="http://schemas.microsoft.com/office/drawing/2014/main" id="{00000000-0008-0000-0900-000019000000}"/>
            </a:ext>
          </a:extLst>
        </xdr:cNvPr>
        <xdr:cNvSpPr txBox="1"/>
      </xdr:nvSpPr>
      <xdr:spPr>
        <a:xfrm>
          <a:off x="3543300" y="18583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27</xdr:row>
      <xdr:rowOff>628650</xdr:rowOff>
    </xdr:from>
    <xdr:to>
      <xdr:col>3</xdr:col>
      <xdr:colOff>161925</xdr:colOff>
      <xdr:row>27</xdr:row>
      <xdr:rowOff>781050</xdr:rowOff>
    </xdr:to>
    <xdr:sp macro="" textlink="">
      <xdr:nvSpPr>
        <xdr:cNvPr id="26" name="TextBox 25">
          <a:hlinkClick xmlns:r="http://schemas.openxmlformats.org/officeDocument/2006/relationships" r:id="rId17"/>
          <a:extLst>
            <a:ext uri="{FF2B5EF4-FFF2-40B4-BE49-F238E27FC236}">
              <a16:creationId xmlns:a16="http://schemas.microsoft.com/office/drawing/2014/main" id="{00000000-0008-0000-0900-00001A000000}"/>
            </a:ext>
          </a:extLst>
        </xdr:cNvPr>
        <xdr:cNvSpPr txBox="1"/>
      </xdr:nvSpPr>
      <xdr:spPr>
        <a:xfrm>
          <a:off x="3543300" y="19383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28</xdr:row>
      <xdr:rowOff>628650</xdr:rowOff>
    </xdr:from>
    <xdr:to>
      <xdr:col>3</xdr:col>
      <xdr:colOff>161925</xdr:colOff>
      <xdr:row>28</xdr:row>
      <xdr:rowOff>781050</xdr:rowOff>
    </xdr:to>
    <xdr:sp macro="" textlink="">
      <xdr:nvSpPr>
        <xdr:cNvPr id="27" name="TextBox 26">
          <a:hlinkClick xmlns:r="http://schemas.openxmlformats.org/officeDocument/2006/relationships" r:id="rId18"/>
          <a:extLst>
            <a:ext uri="{FF2B5EF4-FFF2-40B4-BE49-F238E27FC236}">
              <a16:creationId xmlns:a16="http://schemas.microsoft.com/office/drawing/2014/main" id="{00000000-0008-0000-0900-00001B000000}"/>
            </a:ext>
          </a:extLst>
        </xdr:cNvPr>
        <xdr:cNvSpPr txBox="1"/>
      </xdr:nvSpPr>
      <xdr:spPr>
        <a:xfrm>
          <a:off x="3543300" y="20183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31</xdr:row>
      <xdr:rowOff>628650</xdr:rowOff>
    </xdr:from>
    <xdr:to>
      <xdr:col>3</xdr:col>
      <xdr:colOff>161925</xdr:colOff>
      <xdr:row>31</xdr:row>
      <xdr:rowOff>781050</xdr:rowOff>
    </xdr:to>
    <xdr:sp macro="" textlink="">
      <xdr:nvSpPr>
        <xdr:cNvPr id="28" name="TextBox 27">
          <a:hlinkClick xmlns:r="http://schemas.openxmlformats.org/officeDocument/2006/relationships" r:id="rId19"/>
          <a:extLst>
            <a:ext uri="{FF2B5EF4-FFF2-40B4-BE49-F238E27FC236}">
              <a16:creationId xmlns:a16="http://schemas.microsoft.com/office/drawing/2014/main" id="{00000000-0008-0000-0900-00001C000000}"/>
            </a:ext>
          </a:extLst>
        </xdr:cNvPr>
        <xdr:cNvSpPr txBox="1"/>
      </xdr:nvSpPr>
      <xdr:spPr>
        <a:xfrm>
          <a:off x="3543300" y="22583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29" name="TextBox 28">
          <a:hlinkClick xmlns:r="http://schemas.openxmlformats.org/officeDocument/2006/relationships" r:id="rId20"/>
          <a:extLst>
            <a:ext uri="{FF2B5EF4-FFF2-40B4-BE49-F238E27FC236}">
              <a16:creationId xmlns:a16="http://schemas.microsoft.com/office/drawing/2014/main" id="{00000000-0008-0000-0900-00001D000000}"/>
            </a:ext>
          </a:extLst>
        </xdr:cNvPr>
        <xdr:cNvSpPr txBox="1"/>
      </xdr:nvSpPr>
      <xdr:spPr>
        <a:xfrm>
          <a:off x="3543302" y="113823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29</xdr:row>
      <xdr:rowOff>628650</xdr:rowOff>
    </xdr:from>
    <xdr:to>
      <xdr:col>3</xdr:col>
      <xdr:colOff>161926</xdr:colOff>
      <xdr:row>29</xdr:row>
      <xdr:rowOff>781050</xdr:rowOff>
    </xdr:to>
    <xdr:sp macro="" textlink="">
      <xdr:nvSpPr>
        <xdr:cNvPr id="30" name="TextBox 29">
          <a:hlinkClick xmlns:r="http://schemas.openxmlformats.org/officeDocument/2006/relationships" r:id="rId21"/>
          <a:extLst>
            <a:ext uri="{FF2B5EF4-FFF2-40B4-BE49-F238E27FC236}">
              <a16:creationId xmlns:a16="http://schemas.microsoft.com/office/drawing/2014/main" id="{00000000-0008-0000-0900-00001E000000}"/>
            </a:ext>
          </a:extLst>
        </xdr:cNvPr>
        <xdr:cNvSpPr txBox="1"/>
      </xdr:nvSpPr>
      <xdr:spPr>
        <a:xfrm>
          <a:off x="3543302" y="209835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1" name="TextBox 40">
          <a:hlinkClick xmlns:r="http://schemas.openxmlformats.org/officeDocument/2006/relationships" r:id="rId22"/>
          <a:extLst>
            <a:ext uri="{FF2B5EF4-FFF2-40B4-BE49-F238E27FC236}">
              <a16:creationId xmlns:a16="http://schemas.microsoft.com/office/drawing/2014/main" id="{00000000-0008-0000-0900-000029000000}"/>
            </a:ext>
          </a:extLst>
        </xdr:cNvPr>
        <xdr:cNvSpPr txBox="1"/>
      </xdr:nvSpPr>
      <xdr:spPr>
        <a:xfrm>
          <a:off x="3543300" y="13782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7</xdr:row>
      <xdr:rowOff>628650</xdr:rowOff>
    </xdr:from>
    <xdr:to>
      <xdr:col>3</xdr:col>
      <xdr:colOff>161925</xdr:colOff>
      <xdr:row>7</xdr:row>
      <xdr:rowOff>781050</xdr:rowOff>
    </xdr:to>
    <xdr:sp macro="" textlink="">
      <xdr:nvSpPr>
        <xdr:cNvPr id="42" name="TextBox 41">
          <a:hlinkClick xmlns:r="http://schemas.openxmlformats.org/officeDocument/2006/relationships" r:id="rId23"/>
          <a:extLst>
            <a:ext uri="{FF2B5EF4-FFF2-40B4-BE49-F238E27FC236}">
              <a16:creationId xmlns:a16="http://schemas.microsoft.com/office/drawing/2014/main" id="{00000000-0008-0000-0900-00002A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8</xdr:row>
      <xdr:rowOff>628650</xdr:rowOff>
    </xdr:from>
    <xdr:to>
      <xdr:col>3</xdr:col>
      <xdr:colOff>161925</xdr:colOff>
      <xdr:row>8</xdr:row>
      <xdr:rowOff>781050</xdr:rowOff>
    </xdr:to>
    <xdr:sp macro="" textlink="">
      <xdr:nvSpPr>
        <xdr:cNvPr id="43" name="TextBox 42">
          <a:hlinkClick xmlns:r="http://schemas.openxmlformats.org/officeDocument/2006/relationships" r:id="rId24"/>
          <a:extLst>
            <a:ext uri="{FF2B5EF4-FFF2-40B4-BE49-F238E27FC236}">
              <a16:creationId xmlns:a16="http://schemas.microsoft.com/office/drawing/2014/main" id="{00000000-0008-0000-0900-00002B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44" name="TextBox 43">
          <a:hlinkClick xmlns:r="http://schemas.openxmlformats.org/officeDocument/2006/relationships" r:id="rId11"/>
          <a:extLst>
            <a:ext uri="{FF2B5EF4-FFF2-40B4-BE49-F238E27FC236}">
              <a16:creationId xmlns:a16="http://schemas.microsoft.com/office/drawing/2014/main" id="{00000000-0008-0000-0900-00002C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45" name="TextBox 44">
          <a:hlinkClick xmlns:r="http://schemas.openxmlformats.org/officeDocument/2006/relationships" r:id="rId25"/>
          <a:extLst>
            <a:ext uri="{FF2B5EF4-FFF2-40B4-BE49-F238E27FC236}">
              <a16:creationId xmlns:a16="http://schemas.microsoft.com/office/drawing/2014/main" id="{00000000-0008-0000-0900-00002D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46" name="TextBox 45">
          <a:hlinkClick xmlns:r="http://schemas.openxmlformats.org/officeDocument/2006/relationships" r:id="rId10"/>
          <a:extLst>
            <a:ext uri="{FF2B5EF4-FFF2-40B4-BE49-F238E27FC236}">
              <a16:creationId xmlns:a16="http://schemas.microsoft.com/office/drawing/2014/main" id="{00000000-0008-0000-0900-00002E000000}"/>
            </a:ext>
          </a:extLst>
        </xdr:cNvPr>
        <xdr:cNvSpPr txBox="1"/>
      </xdr:nvSpPr>
      <xdr:spPr>
        <a:xfrm>
          <a:off x="3543302" y="41814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7" name="TextBox 46">
          <a:hlinkClick xmlns:r="http://schemas.openxmlformats.org/officeDocument/2006/relationships" r:id="rId26"/>
          <a:extLst>
            <a:ext uri="{FF2B5EF4-FFF2-40B4-BE49-F238E27FC236}">
              <a16:creationId xmlns:a16="http://schemas.microsoft.com/office/drawing/2014/main" id="{00000000-0008-0000-0900-00002F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21</xdr:row>
      <xdr:rowOff>628650</xdr:rowOff>
    </xdr:from>
    <xdr:to>
      <xdr:col>3</xdr:col>
      <xdr:colOff>161925</xdr:colOff>
      <xdr:row>21</xdr:row>
      <xdr:rowOff>781050</xdr:rowOff>
    </xdr:to>
    <xdr:sp macro="" textlink="">
      <xdr:nvSpPr>
        <xdr:cNvPr id="48" name="TextBox 47">
          <a:hlinkClick xmlns:r="http://schemas.openxmlformats.org/officeDocument/2006/relationships" r:id="rId27"/>
          <a:extLst>
            <a:ext uri="{FF2B5EF4-FFF2-40B4-BE49-F238E27FC236}">
              <a16:creationId xmlns:a16="http://schemas.microsoft.com/office/drawing/2014/main" id="{00000000-0008-0000-0900-000030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35</xdr:row>
      <xdr:rowOff>790575</xdr:rowOff>
    </xdr:from>
    <xdr:to>
      <xdr:col>3</xdr:col>
      <xdr:colOff>161926</xdr:colOff>
      <xdr:row>35</xdr:row>
      <xdr:rowOff>942975</xdr:rowOff>
    </xdr:to>
    <xdr:sp macro="" textlink="">
      <xdr:nvSpPr>
        <xdr:cNvPr id="49" name="TextBox 48">
          <a:hlinkClick xmlns:r="http://schemas.openxmlformats.org/officeDocument/2006/relationships" r:id="rId28"/>
          <a:extLst>
            <a:ext uri="{FF2B5EF4-FFF2-40B4-BE49-F238E27FC236}">
              <a16:creationId xmlns:a16="http://schemas.microsoft.com/office/drawing/2014/main" id="{00000000-0008-0000-0900-000031000000}"/>
            </a:ext>
          </a:extLst>
        </xdr:cNvPr>
        <xdr:cNvSpPr txBox="1"/>
      </xdr:nvSpPr>
      <xdr:spPr>
        <a:xfrm>
          <a:off x="3543302" y="61055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37</xdr:row>
      <xdr:rowOff>790577</xdr:rowOff>
    </xdr:from>
    <xdr:to>
      <xdr:col>3</xdr:col>
      <xdr:colOff>161925</xdr:colOff>
      <xdr:row>37</xdr:row>
      <xdr:rowOff>942975</xdr:rowOff>
    </xdr:to>
    <xdr:sp macro="" textlink="">
      <xdr:nvSpPr>
        <xdr:cNvPr id="50" name="TextBox 49">
          <a:hlinkClick xmlns:r="http://schemas.openxmlformats.org/officeDocument/2006/relationships" r:id="rId29"/>
          <a:extLst>
            <a:ext uri="{FF2B5EF4-FFF2-40B4-BE49-F238E27FC236}">
              <a16:creationId xmlns:a16="http://schemas.microsoft.com/office/drawing/2014/main" id="{00000000-0008-0000-0900-000032000000}"/>
            </a:ext>
          </a:extLst>
        </xdr:cNvPr>
        <xdr:cNvSpPr txBox="1"/>
      </xdr:nvSpPr>
      <xdr:spPr>
        <a:xfrm>
          <a:off x="3533775" y="8029577"/>
          <a:ext cx="152400" cy="15239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34</xdr:row>
      <xdr:rowOff>790575</xdr:rowOff>
    </xdr:from>
    <xdr:to>
      <xdr:col>3</xdr:col>
      <xdr:colOff>152401</xdr:colOff>
      <xdr:row>34</xdr:row>
      <xdr:rowOff>942975</xdr:rowOff>
    </xdr:to>
    <xdr:sp macro="" textlink="">
      <xdr:nvSpPr>
        <xdr:cNvPr id="51" name="TextBox 50">
          <a:hlinkClick xmlns:r="http://schemas.openxmlformats.org/officeDocument/2006/relationships" r:id="rId30"/>
          <a:extLst>
            <a:ext uri="{FF2B5EF4-FFF2-40B4-BE49-F238E27FC236}">
              <a16:creationId xmlns:a16="http://schemas.microsoft.com/office/drawing/2014/main" id="{00000000-0008-0000-0900-000033000000}"/>
            </a:ext>
          </a:extLst>
        </xdr:cNvPr>
        <xdr:cNvSpPr txBox="1"/>
      </xdr:nvSpPr>
      <xdr:spPr>
        <a:xfrm>
          <a:off x="3533777" y="51435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36</xdr:row>
      <xdr:rowOff>790575</xdr:rowOff>
    </xdr:from>
    <xdr:to>
      <xdr:col>3</xdr:col>
      <xdr:colOff>161926</xdr:colOff>
      <xdr:row>36</xdr:row>
      <xdr:rowOff>942975</xdr:rowOff>
    </xdr:to>
    <xdr:sp macro="" textlink="">
      <xdr:nvSpPr>
        <xdr:cNvPr id="52" name="TextBox 51">
          <a:hlinkClick xmlns:r="http://schemas.openxmlformats.org/officeDocument/2006/relationships" r:id="rId31"/>
          <a:extLst>
            <a:ext uri="{FF2B5EF4-FFF2-40B4-BE49-F238E27FC236}">
              <a16:creationId xmlns:a16="http://schemas.microsoft.com/office/drawing/2014/main" id="{00000000-0008-0000-0900-000034000000}"/>
            </a:ext>
          </a:extLst>
        </xdr:cNvPr>
        <xdr:cNvSpPr txBox="1"/>
      </xdr:nvSpPr>
      <xdr:spPr>
        <a:xfrm>
          <a:off x="3543302" y="70675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39</xdr:row>
      <xdr:rowOff>790575</xdr:rowOff>
    </xdr:from>
    <xdr:to>
      <xdr:col>3</xdr:col>
      <xdr:colOff>152401</xdr:colOff>
      <xdr:row>39</xdr:row>
      <xdr:rowOff>942975</xdr:rowOff>
    </xdr:to>
    <xdr:sp macro="" textlink="">
      <xdr:nvSpPr>
        <xdr:cNvPr id="53" name="TextBox 52">
          <a:hlinkClick xmlns:r="http://schemas.openxmlformats.org/officeDocument/2006/relationships" r:id="rId32"/>
          <a:extLst>
            <a:ext uri="{FF2B5EF4-FFF2-40B4-BE49-F238E27FC236}">
              <a16:creationId xmlns:a16="http://schemas.microsoft.com/office/drawing/2014/main" id="{00000000-0008-0000-0900-000035000000}"/>
            </a:ext>
          </a:extLst>
        </xdr:cNvPr>
        <xdr:cNvSpPr txBox="1"/>
      </xdr:nvSpPr>
      <xdr:spPr>
        <a:xfrm>
          <a:off x="3533777" y="99536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40</xdr:row>
      <xdr:rowOff>790575</xdr:rowOff>
    </xdr:from>
    <xdr:to>
      <xdr:col>3</xdr:col>
      <xdr:colOff>161926</xdr:colOff>
      <xdr:row>40</xdr:row>
      <xdr:rowOff>942975</xdr:rowOff>
    </xdr:to>
    <xdr:sp macro="" textlink="">
      <xdr:nvSpPr>
        <xdr:cNvPr id="54" name="TextBox 53">
          <a:hlinkClick xmlns:r="http://schemas.openxmlformats.org/officeDocument/2006/relationships" r:id="rId33"/>
          <a:extLst>
            <a:ext uri="{FF2B5EF4-FFF2-40B4-BE49-F238E27FC236}">
              <a16:creationId xmlns:a16="http://schemas.microsoft.com/office/drawing/2014/main" id="{00000000-0008-0000-0900-000036000000}"/>
            </a:ext>
          </a:extLst>
        </xdr:cNvPr>
        <xdr:cNvSpPr txBox="1"/>
      </xdr:nvSpPr>
      <xdr:spPr>
        <a:xfrm>
          <a:off x="3543302" y="109156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41</xdr:row>
      <xdr:rowOff>790575</xdr:rowOff>
    </xdr:from>
    <xdr:to>
      <xdr:col>3</xdr:col>
      <xdr:colOff>152401</xdr:colOff>
      <xdr:row>41</xdr:row>
      <xdr:rowOff>942975</xdr:rowOff>
    </xdr:to>
    <xdr:sp macro="" textlink="">
      <xdr:nvSpPr>
        <xdr:cNvPr id="55" name="TextBox 54">
          <a:hlinkClick xmlns:r="http://schemas.openxmlformats.org/officeDocument/2006/relationships" r:id="rId34"/>
          <a:extLst>
            <a:ext uri="{FF2B5EF4-FFF2-40B4-BE49-F238E27FC236}">
              <a16:creationId xmlns:a16="http://schemas.microsoft.com/office/drawing/2014/main" id="{00000000-0008-0000-0900-000037000000}"/>
            </a:ext>
          </a:extLst>
        </xdr:cNvPr>
        <xdr:cNvSpPr txBox="1"/>
      </xdr:nvSpPr>
      <xdr:spPr>
        <a:xfrm>
          <a:off x="3533777" y="118776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42</xdr:row>
      <xdr:rowOff>790575</xdr:rowOff>
    </xdr:from>
    <xdr:to>
      <xdr:col>3</xdr:col>
      <xdr:colOff>161926</xdr:colOff>
      <xdr:row>42</xdr:row>
      <xdr:rowOff>942975</xdr:rowOff>
    </xdr:to>
    <xdr:sp macro="" textlink="">
      <xdr:nvSpPr>
        <xdr:cNvPr id="56" name="TextBox 55">
          <a:hlinkClick xmlns:r="http://schemas.openxmlformats.org/officeDocument/2006/relationships" r:id="rId35"/>
          <a:extLst>
            <a:ext uri="{FF2B5EF4-FFF2-40B4-BE49-F238E27FC236}">
              <a16:creationId xmlns:a16="http://schemas.microsoft.com/office/drawing/2014/main" id="{00000000-0008-0000-0900-000038000000}"/>
            </a:ext>
          </a:extLst>
        </xdr:cNvPr>
        <xdr:cNvSpPr txBox="1"/>
      </xdr:nvSpPr>
      <xdr:spPr>
        <a:xfrm>
          <a:off x="3543302" y="128397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44</xdr:row>
      <xdr:rowOff>790575</xdr:rowOff>
    </xdr:from>
    <xdr:to>
      <xdr:col>3</xdr:col>
      <xdr:colOff>152401</xdr:colOff>
      <xdr:row>44</xdr:row>
      <xdr:rowOff>942975</xdr:rowOff>
    </xdr:to>
    <xdr:sp macro="" textlink="">
      <xdr:nvSpPr>
        <xdr:cNvPr id="57" name="TextBox 56">
          <a:hlinkClick xmlns:r="http://schemas.openxmlformats.org/officeDocument/2006/relationships" r:id="rId36"/>
          <a:extLst>
            <a:ext uri="{FF2B5EF4-FFF2-40B4-BE49-F238E27FC236}">
              <a16:creationId xmlns:a16="http://schemas.microsoft.com/office/drawing/2014/main" id="{00000000-0008-0000-0900-000039000000}"/>
            </a:ext>
          </a:extLst>
        </xdr:cNvPr>
        <xdr:cNvSpPr txBox="1"/>
      </xdr:nvSpPr>
      <xdr:spPr>
        <a:xfrm>
          <a:off x="3533777" y="147637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43</xdr:row>
      <xdr:rowOff>790575</xdr:rowOff>
    </xdr:from>
    <xdr:to>
      <xdr:col>3</xdr:col>
      <xdr:colOff>152401</xdr:colOff>
      <xdr:row>43</xdr:row>
      <xdr:rowOff>942975</xdr:rowOff>
    </xdr:to>
    <xdr:sp macro="" textlink="">
      <xdr:nvSpPr>
        <xdr:cNvPr id="58" name="TextBox 57">
          <a:hlinkClick xmlns:r="http://schemas.openxmlformats.org/officeDocument/2006/relationships" r:id="rId37"/>
          <a:extLst>
            <a:ext uri="{FF2B5EF4-FFF2-40B4-BE49-F238E27FC236}">
              <a16:creationId xmlns:a16="http://schemas.microsoft.com/office/drawing/2014/main" id="{00000000-0008-0000-0900-00003A000000}"/>
            </a:ext>
          </a:extLst>
        </xdr:cNvPr>
        <xdr:cNvSpPr txBox="1"/>
      </xdr:nvSpPr>
      <xdr:spPr>
        <a:xfrm>
          <a:off x="3533777" y="138017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45</xdr:row>
      <xdr:rowOff>790575</xdr:rowOff>
    </xdr:from>
    <xdr:to>
      <xdr:col>3</xdr:col>
      <xdr:colOff>152401</xdr:colOff>
      <xdr:row>45</xdr:row>
      <xdr:rowOff>942975</xdr:rowOff>
    </xdr:to>
    <xdr:sp macro="" textlink="">
      <xdr:nvSpPr>
        <xdr:cNvPr id="59" name="TextBox 58">
          <a:hlinkClick xmlns:r="http://schemas.openxmlformats.org/officeDocument/2006/relationships" r:id="rId38"/>
          <a:extLst>
            <a:ext uri="{FF2B5EF4-FFF2-40B4-BE49-F238E27FC236}">
              <a16:creationId xmlns:a16="http://schemas.microsoft.com/office/drawing/2014/main" id="{00000000-0008-0000-0900-00003B000000}"/>
            </a:ext>
          </a:extLst>
        </xdr:cNvPr>
        <xdr:cNvSpPr txBox="1"/>
      </xdr:nvSpPr>
      <xdr:spPr>
        <a:xfrm>
          <a:off x="3533777" y="157257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46</xdr:row>
      <xdr:rowOff>790575</xdr:rowOff>
    </xdr:from>
    <xdr:to>
      <xdr:col>3</xdr:col>
      <xdr:colOff>152399</xdr:colOff>
      <xdr:row>46</xdr:row>
      <xdr:rowOff>942975</xdr:rowOff>
    </xdr:to>
    <xdr:sp macro="" textlink="">
      <xdr:nvSpPr>
        <xdr:cNvPr id="60" name="TextBox 59">
          <a:hlinkClick xmlns:r="http://schemas.openxmlformats.org/officeDocument/2006/relationships" r:id="rId39"/>
          <a:extLst>
            <a:ext uri="{FF2B5EF4-FFF2-40B4-BE49-F238E27FC236}">
              <a16:creationId xmlns:a16="http://schemas.microsoft.com/office/drawing/2014/main" id="{00000000-0008-0000-0900-00003C000000}"/>
            </a:ext>
          </a:extLst>
        </xdr:cNvPr>
        <xdr:cNvSpPr txBox="1"/>
      </xdr:nvSpPr>
      <xdr:spPr>
        <a:xfrm>
          <a:off x="3533775" y="254889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200025</xdr:colOff>
          <xdr:row>1</xdr:row>
          <xdr:rowOff>95250</xdr:rowOff>
        </xdr:from>
        <xdr:to>
          <xdr:col>2</xdr:col>
          <xdr:colOff>828675</xdr:colOff>
          <xdr:row>1</xdr:row>
          <xdr:rowOff>666750</xdr:rowOff>
        </xdr:to>
        <xdr:sp macro="" textlink="">
          <xdr:nvSpPr>
            <xdr:cNvPr id="35841" name="CommandButton1" hidden="1">
              <a:extLst>
                <a:ext uri="{63B3BB69-23CF-44E3-9099-C40C66FF867C}">
                  <a14:compatExt spid="_x0000_s35841"/>
                </a:ext>
                <a:ext uri="{FF2B5EF4-FFF2-40B4-BE49-F238E27FC236}">
                  <a16:creationId xmlns:a16="http://schemas.microsoft.com/office/drawing/2014/main" id="{00000000-0008-0000-0A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xdr:row>
          <xdr:rowOff>85725</xdr:rowOff>
        </xdr:from>
        <xdr:to>
          <xdr:col>2</xdr:col>
          <xdr:colOff>809625</xdr:colOff>
          <xdr:row>2</xdr:row>
          <xdr:rowOff>647700</xdr:rowOff>
        </xdr:to>
        <xdr:sp macro="" textlink="">
          <xdr:nvSpPr>
            <xdr:cNvPr id="35842" name="CommandButton2" hidden="1">
              <a:extLst>
                <a:ext uri="{63B3BB69-23CF-44E3-9099-C40C66FF867C}">
                  <a14:compatExt spid="_x0000_s35842"/>
                </a:ext>
                <a:ext uri="{FF2B5EF4-FFF2-40B4-BE49-F238E27FC236}">
                  <a16:creationId xmlns:a16="http://schemas.microsoft.com/office/drawing/2014/main" id="{00000000-0008-0000-0A00-000002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14</xdr:row>
          <xdr:rowOff>133350</xdr:rowOff>
        </xdr:from>
        <xdr:to>
          <xdr:col>2</xdr:col>
          <xdr:colOff>800100</xdr:colOff>
          <xdr:row>14</xdr:row>
          <xdr:rowOff>695325</xdr:rowOff>
        </xdr:to>
        <xdr:sp macro="" textlink="">
          <xdr:nvSpPr>
            <xdr:cNvPr id="35843" name="CommandButton3" hidden="1">
              <a:extLst>
                <a:ext uri="{63B3BB69-23CF-44E3-9099-C40C66FF867C}">
                  <a14:compatExt spid="_x0000_s35843"/>
                </a:ext>
                <a:ext uri="{FF2B5EF4-FFF2-40B4-BE49-F238E27FC236}">
                  <a16:creationId xmlns:a16="http://schemas.microsoft.com/office/drawing/2014/main" id="{00000000-0008-0000-0A00-000003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15</xdr:row>
          <xdr:rowOff>114300</xdr:rowOff>
        </xdr:from>
        <xdr:to>
          <xdr:col>2</xdr:col>
          <xdr:colOff>809625</xdr:colOff>
          <xdr:row>15</xdr:row>
          <xdr:rowOff>666750</xdr:rowOff>
        </xdr:to>
        <xdr:sp macro="" textlink="">
          <xdr:nvSpPr>
            <xdr:cNvPr id="35844" name="CommandButton4" hidden="1">
              <a:extLst>
                <a:ext uri="{63B3BB69-23CF-44E3-9099-C40C66FF867C}">
                  <a14:compatExt spid="_x0000_s35844"/>
                </a:ext>
                <a:ext uri="{FF2B5EF4-FFF2-40B4-BE49-F238E27FC236}">
                  <a16:creationId xmlns:a16="http://schemas.microsoft.com/office/drawing/2014/main" id="{00000000-0008-0000-0A00-000004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503997</xdr:colOff>
      <xdr:row>0</xdr:row>
      <xdr:rowOff>55907</xdr:rowOff>
    </xdr:from>
    <xdr:to>
      <xdr:col>9</xdr:col>
      <xdr:colOff>679367</xdr:colOff>
      <xdr:row>0</xdr:row>
      <xdr:rowOff>302287</xdr:rowOff>
    </xdr:to>
    <xdr:pic>
      <xdr:nvPicPr>
        <xdr:cNvPr id="10" name="Picture 9">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0543347" y="55907"/>
          <a:ext cx="1718420" cy="246380"/>
        </a:xfrm>
        <a:prstGeom prst="rect">
          <a:avLst/>
        </a:prstGeom>
      </xdr:spPr>
    </xdr:pic>
    <xdr:clientData/>
  </xdr:twoCellAnchor>
  <xdr:twoCellAnchor>
    <xdr:from>
      <xdr:col>3</xdr:col>
      <xdr:colOff>19050</xdr:colOff>
      <xdr:row>3</xdr:row>
      <xdr:rowOff>628650</xdr:rowOff>
    </xdr:from>
    <xdr:to>
      <xdr:col>3</xdr:col>
      <xdr:colOff>161925</xdr:colOff>
      <xdr:row>3</xdr:row>
      <xdr:rowOff>781050</xdr:rowOff>
    </xdr:to>
    <xdr:sp macro="" textlink="">
      <xdr:nvSpPr>
        <xdr:cNvPr id="11" name="TextBox 10">
          <a:hlinkClick xmlns:r="http://schemas.openxmlformats.org/officeDocument/2006/relationships" r:id="rId2"/>
          <a:extLst>
            <a:ext uri="{FF2B5EF4-FFF2-40B4-BE49-F238E27FC236}">
              <a16:creationId xmlns:a16="http://schemas.microsoft.com/office/drawing/2014/main" id="{00000000-0008-0000-0A00-00000B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4</xdr:row>
      <xdr:rowOff>628650</xdr:rowOff>
    </xdr:from>
    <xdr:to>
      <xdr:col>3</xdr:col>
      <xdr:colOff>161925</xdr:colOff>
      <xdr:row>4</xdr:row>
      <xdr:rowOff>781050</xdr:rowOff>
    </xdr:to>
    <xdr:sp macro="" textlink="">
      <xdr:nvSpPr>
        <xdr:cNvPr id="12" name="TextBox 11">
          <a:hlinkClick xmlns:r="http://schemas.openxmlformats.org/officeDocument/2006/relationships" r:id="rId3"/>
          <a:extLst>
            <a:ext uri="{FF2B5EF4-FFF2-40B4-BE49-F238E27FC236}">
              <a16:creationId xmlns:a16="http://schemas.microsoft.com/office/drawing/2014/main" id="{00000000-0008-0000-0A00-00000C000000}"/>
            </a:ext>
          </a:extLst>
        </xdr:cNvPr>
        <xdr:cNvSpPr txBox="1"/>
      </xdr:nvSpPr>
      <xdr:spPr>
        <a:xfrm>
          <a:off x="3543300" y="3381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5</xdr:row>
      <xdr:rowOff>628650</xdr:rowOff>
    </xdr:from>
    <xdr:to>
      <xdr:col>3</xdr:col>
      <xdr:colOff>161925</xdr:colOff>
      <xdr:row>5</xdr:row>
      <xdr:rowOff>781050</xdr:rowOff>
    </xdr:to>
    <xdr:sp macro="" textlink="">
      <xdr:nvSpPr>
        <xdr:cNvPr id="13" name="TextBox 12">
          <a:hlinkClick xmlns:r="http://schemas.openxmlformats.org/officeDocument/2006/relationships" r:id="rId4"/>
          <a:extLst>
            <a:ext uri="{FF2B5EF4-FFF2-40B4-BE49-F238E27FC236}">
              <a16:creationId xmlns:a16="http://schemas.microsoft.com/office/drawing/2014/main" id="{00000000-0008-0000-0A00-00000D000000}"/>
            </a:ext>
          </a:extLst>
        </xdr:cNvPr>
        <xdr:cNvSpPr txBox="1"/>
      </xdr:nvSpPr>
      <xdr:spPr>
        <a:xfrm>
          <a:off x="3543300" y="4181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6</xdr:row>
      <xdr:rowOff>628650</xdr:rowOff>
    </xdr:from>
    <xdr:to>
      <xdr:col>3</xdr:col>
      <xdr:colOff>161925</xdr:colOff>
      <xdr:row>6</xdr:row>
      <xdr:rowOff>781050</xdr:rowOff>
    </xdr:to>
    <xdr:sp macro="" textlink="">
      <xdr:nvSpPr>
        <xdr:cNvPr id="14" name="TextBox 13">
          <a:hlinkClick xmlns:r="http://schemas.openxmlformats.org/officeDocument/2006/relationships" r:id="rId5"/>
          <a:extLst>
            <a:ext uri="{FF2B5EF4-FFF2-40B4-BE49-F238E27FC236}">
              <a16:creationId xmlns:a16="http://schemas.microsoft.com/office/drawing/2014/main" id="{00000000-0008-0000-0A00-00000E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9</xdr:row>
      <xdr:rowOff>628650</xdr:rowOff>
    </xdr:from>
    <xdr:to>
      <xdr:col>3</xdr:col>
      <xdr:colOff>161925</xdr:colOff>
      <xdr:row>9</xdr:row>
      <xdr:rowOff>781050</xdr:rowOff>
    </xdr:to>
    <xdr:sp macro="" textlink="">
      <xdr:nvSpPr>
        <xdr:cNvPr id="15" name="TextBox 14">
          <a:hlinkClick xmlns:r="http://schemas.openxmlformats.org/officeDocument/2006/relationships" r:id="rId6"/>
          <a:extLst>
            <a:ext uri="{FF2B5EF4-FFF2-40B4-BE49-F238E27FC236}">
              <a16:creationId xmlns:a16="http://schemas.microsoft.com/office/drawing/2014/main" id="{00000000-0008-0000-0A00-00000F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10</xdr:row>
      <xdr:rowOff>628650</xdr:rowOff>
    </xdr:from>
    <xdr:to>
      <xdr:col>3</xdr:col>
      <xdr:colOff>161925</xdr:colOff>
      <xdr:row>10</xdr:row>
      <xdr:rowOff>781050</xdr:rowOff>
    </xdr:to>
    <xdr:sp macro="" textlink="">
      <xdr:nvSpPr>
        <xdr:cNvPr id="16" name="TextBox 15">
          <a:hlinkClick xmlns:r="http://schemas.openxmlformats.org/officeDocument/2006/relationships" r:id="rId7"/>
          <a:extLst>
            <a:ext uri="{FF2B5EF4-FFF2-40B4-BE49-F238E27FC236}">
              <a16:creationId xmlns:a16="http://schemas.microsoft.com/office/drawing/2014/main" id="{00000000-0008-0000-0A00-000010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11</xdr:row>
      <xdr:rowOff>628650</xdr:rowOff>
    </xdr:from>
    <xdr:to>
      <xdr:col>3</xdr:col>
      <xdr:colOff>161925</xdr:colOff>
      <xdr:row>11</xdr:row>
      <xdr:rowOff>781050</xdr:rowOff>
    </xdr:to>
    <xdr:sp macro="" textlink="">
      <xdr:nvSpPr>
        <xdr:cNvPr id="17" name="TextBox 16">
          <a:hlinkClick xmlns:r="http://schemas.openxmlformats.org/officeDocument/2006/relationships" r:id="rId8"/>
          <a:extLst>
            <a:ext uri="{FF2B5EF4-FFF2-40B4-BE49-F238E27FC236}">
              <a16:creationId xmlns:a16="http://schemas.microsoft.com/office/drawing/2014/main" id="{00000000-0008-0000-0A00-000011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12</xdr:row>
      <xdr:rowOff>628650</xdr:rowOff>
    </xdr:from>
    <xdr:to>
      <xdr:col>3</xdr:col>
      <xdr:colOff>161925</xdr:colOff>
      <xdr:row>12</xdr:row>
      <xdr:rowOff>781050</xdr:rowOff>
    </xdr:to>
    <xdr:sp macro="" textlink="">
      <xdr:nvSpPr>
        <xdr:cNvPr id="18" name="TextBox 17">
          <a:hlinkClick xmlns:r="http://schemas.openxmlformats.org/officeDocument/2006/relationships" r:id="rId9"/>
          <a:extLst>
            <a:ext uri="{FF2B5EF4-FFF2-40B4-BE49-F238E27FC236}">
              <a16:creationId xmlns:a16="http://schemas.microsoft.com/office/drawing/2014/main" id="{00000000-0008-0000-0A00-000012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19" name="TextBox 18">
          <a:hlinkClick xmlns:r="http://schemas.openxmlformats.org/officeDocument/2006/relationships" r:id="rId10"/>
          <a:extLst>
            <a:ext uri="{FF2B5EF4-FFF2-40B4-BE49-F238E27FC236}">
              <a16:creationId xmlns:a16="http://schemas.microsoft.com/office/drawing/2014/main" id="{00000000-0008-0000-0A00-000013000000}"/>
            </a:ext>
          </a:extLst>
        </xdr:cNvPr>
        <xdr:cNvSpPr txBox="1"/>
      </xdr:nvSpPr>
      <xdr:spPr>
        <a:xfrm>
          <a:off x="3543300" y="12982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20" name="TextBox 19">
          <a:hlinkClick xmlns:r="http://schemas.openxmlformats.org/officeDocument/2006/relationships" r:id="rId11"/>
          <a:extLst>
            <a:ext uri="{FF2B5EF4-FFF2-40B4-BE49-F238E27FC236}">
              <a16:creationId xmlns:a16="http://schemas.microsoft.com/office/drawing/2014/main" id="{00000000-0008-0000-0A00-000014000000}"/>
            </a:ext>
          </a:extLst>
        </xdr:cNvPr>
        <xdr:cNvSpPr txBox="1"/>
      </xdr:nvSpPr>
      <xdr:spPr>
        <a:xfrm>
          <a:off x="3543300" y="14582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22</xdr:row>
      <xdr:rowOff>628650</xdr:rowOff>
    </xdr:from>
    <xdr:to>
      <xdr:col>3</xdr:col>
      <xdr:colOff>161925</xdr:colOff>
      <xdr:row>22</xdr:row>
      <xdr:rowOff>781050</xdr:rowOff>
    </xdr:to>
    <xdr:sp macro="" textlink="">
      <xdr:nvSpPr>
        <xdr:cNvPr id="21" name="TextBox 20">
          <a:hlinkClick xmlns:r="http://schemas.openxmlformats.org/officeDocument/2006/relationships" r:id="rId12"/>
          <a:extLst>
            <a:ext uri="{FF2B5EF4-FFF2-40B4-BE49-F238E27FC236}">
              <a16:creationId xmlns:a16="http://schemas.microsoft.com/office/drawing/2014/main" id="{00000000-0008-0000-0A00-000015000000}"/>
            </a:ext>
          </a:extLst>
        </xdr:cNvPr>
        <xdr:cNvSpPr txBox="1"/>
      </xdr:nvSpPr>
      <xdr:spPr>
        <a:xfrm>
          <a:off x="3543300" y="15382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23</xdr:row>
      <xdr:rowOff>628650</xdr:rowOff>
    </xdr:from>
    <xdr:to>
      <xdr:col>3</xdr:col>
      <xdr:colOff>161925</xdr:colOff>
      <xdr:row>23</xdr:row>
      <xdr:rowOff>781050</xdr:rowOff>
    </xdr:to>
    <xdr:sp macro="" textlink="">
      <xdr:nvSpPr>
        <xdr:cNvPr id="22" name="TextBox 21">
          <a:hlinkClick xmlns:r="http://schemas.openxmlformats.org/officeDocument/2006/relationships" r:id="rId13"/>
          <a:extLst>
            <a:ext uri="{FF2B5EF4-FFF2-40B4-BE49-F238E27FC236}">
              <a16:creationId xmlns:a16="http://schemas.microsoft.com/office/drawing/2014/main" id="{00000000-0008-0000-0A00-000016000000}"/>
            </a:ext>
          </a:extLst>
        </xdr:cNvPr>
        <xdr:cNvSpPr txBox="1"/>
      </xdr:nvSpPr>
      <xdr:spPr>
        <a:xfrm>
          <a:off x="3543300" y="16182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24</xdr:row>
      <xdr:rowOff>628650</xdr:rowOff>
    </xdr:from>
    <xdr:to>
      <xdr:col>3</xdr:col>
      <xdr:colOff>161925</xdr:colOff>
      <xdr:row>24</xdr:row>
      <xdr:rowOff>781050</xdr:rowOff>
    </xdr:to>
    <xdr:sp macro="" textlink="">
      <xdr:nvSpPr>
        <xdr:cNvPr id="23" name="TextBox 22">
          <a:hlinkClick xmlns:r="http://schemas.openxmlformats.org/officeDocument/2006/relationships" r:id="rId14"/>
          <a:extLst>
            <a:ext uri="{FF2B5EF4-FFF2-40B4-BE49-F238E27FC236}">
              <a16:creationId xmlns:a16="http://schemas.microsoft.com/office/drawing/2014/main" id="{00000000-0008-0000-0A00-000017000000}"/>
            </a:ext>
          </a:extLst>
        </xdr:cNvPr>
        <xdr:cNvSpPr txBox="1"/>
      </xdr:nvSpPr>
      <xdr:spPr>
        <a:xfrm>
          <a:off x="3543300" y="169830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25</xdr:row>
      <xdr:rowOff>628650</xdr:rowOff>
    </xdr:from>
    <xdr:to>
      <xdr:col>3</xdr:col>
      <xdr:colOff>161925</xdr:colOff>
      <xdr:row>25</xdr:row>
      <xdr:rowOff>781050</xdr:rowOff>
    </xdr:to>
    <xdr:sp macro="" textlink="">
      <xdr:nvSpPr>
        <xdr:cNvPr id="24" name="TextBox 23">
          <a:hlinkClick xmlns:r="http://schemas.openxmlformats.org/officeDocument/2006/relationships" r:id="rId15"/>
          <a:extLst>
            <a:ext uri="{FF2B5EF4-FFF2-40B4-BE49-F238E27FC236}">
              <a16:creationId xmlns:a16="http://schemas.microsoft.com/office/drawing/2014/main" id="{00000000-0008-0000-0A00-000018000000}"/>
            </a:ext>
          </a:extLst>
        </xdr:cNvPr>
        <xdr:cNvSpPr txBox="1"/>
      </xdr:nvSpPr>
      <xdr:spPr>
        <a:xfrm>
          <a:off x="3543300" y="177831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26</xdr:row>
      <xdr:rowOff>628650</xdr:rowOff>
    </xdr:from>
    <xdr:to>
      <xdr:col>3</xdr:col>
      <xdr:colOff>161925</xdr:colOff>
      <xdr:row>26</xdr:row>
      <xdr:rowOff>781050</xdr:rowOff>
    </xdr:to>
    <xdr:sp macro="" textlink="">
      <xdr:nvSpPr>
        <xdr:cNvPr id="25" name="TextBox 24">
          <a:hlinkClick xmlns:r="http://schemas.openxmlformats.org/officeDocument/2006/relationships" r:id="rId16"/>
          <a:extLst>
            <a:ext uri="{FF2B5EF4-FFF2-40B4-BE49-F238E27FC236}">
              <a16:creationId xmlns:a16="http://schemas.microsoft.com/office/drawing/2014/main" id="{00000000-0008-0000-0A00-000019000000}"/>
            </a:ext>
          </a:extLst>
        </xdr:cNvPr>
        <xdr:cNvSpPr txBox="1"/>
      </xdr:nvSpPr>
      <xdr:spPr>
        <a:xfrm>
          <a:off x="3543300" y="18583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27</xdr:row>
      <xdr:rowOff>628650</xdr:rowOff>
    </xdr:from>
    <xdr:to>
      <xdr:col>3</xdr:col>
      <xdr:colOff>161925</xdr:colOff>
      <xdr:row>27</xdr:row>
      <xdr:rowOff>781050</xdr:rowOff>
    </xdr:to>
    <xdr:sp macro="" textlink="">
      <xdr:nvSpPr>
        <xdr:cNvPr id="26" name="TextBox 25">
          <a:hlinkClick xmlns:r="http://schemas.openxmlformats.org/officeDocument/2006/relationships" r:id="rId17"/>
          <a:extLst>
            <a:ext uri="{FF2B5EF4-FFF2-40B4-BE49-F238E27FC236}">
              <a16:creationId xmlns:a16="http://schemas.microsoft.com/office/drawing/2014/main" id="{00000000-0008-0000-0A00-00001A000000}"/>
            </a:ext>
          </a:extLst>
        </xdr:cNvPr>
        <xdr:cNvSpPr txBox="1"/>
      </xdr:nvSpPr>
      <xdr:spPr>
        <a:xfrm>
          <a:off x="3543300" y="19383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28</xdr:row>
      <xdr:rowOff>628650</xdr:rowOff>
    </xdr:from>
    <xdr:to>
      <xdr:col>3</xdr:col>
      <xdr:colOff>161925</xdr:colOff>
      <xdr:row>28</xdr:row>
      <xdr:rowOff>781050</xdr:rowOff>
    </xdr:to>
    <xdr:sp macro="" textlink="">
      <xdr:nvSpPr>
        <xdr:cNvPr id="27" name="TextBox 26">
          <a:hlinkClick xmlns:r="http://schemas.openxmlformats.org/officeDocument/2006/relationships" r:id="rId18"/>
          <a:extLst>
            <a:ext uri="{FF2B5EF4-FFF2-40B4-BE49-F238E27FC236}">
              <a16:creationId xmlns:a16="http://schemas.microsoft.com/office/drawing/2014/main" id="{00000000-0008-0000-0A00-00001B000000}"/>
            </a:ext>
          </a:extLst>
        </xdr:cNvPr>
        <xdr:cNvSpPr txBox="1"/>
      </xdr:nvSpPr>
      <xdr:spPr>
        <a:xfrm>
          <a:off x="3543300" y="20183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31</xdr:row>
      <xdr:rowOff>628650</xdr:rowOff>
    </xdr:from>
    <xdr:to>
      <xdr:col>3</xdr:col>
      <xdr:colOff>161925</xdr:colOff>
      <xdr:row>31</xdr:row>
      <xdr:rowOff>781050</xdr:rowOff>
    </xdr:to>
    <xdr:sp macro="" textlink="">
      <xdr:nvSpPr>
        <xdr:cNvPr id="28" name="TextBox 27">
          <a:hlinkClick xmlns:r="http://schemas.openxmlformats.org/officeDocument/2006/relationships" r:id="rId19"/>
          <a:extLst>
            <a:ext uri="{FF2B5EF4-FFF2-40B4-BE49-F238E27FC236}">
              <a16:creationId xmlns:a16="http://schemas.microsoft.com/office/drawing/2014/main" id="{00000000-0008-0000-0A00-00001C000000}"/>
            </a:ext>
          </a:extLst>
        </xdr:cNvPr>
        <xdr:cNvSpPr txBox="1"/>
      </xdr:nvSpPr>
      <xdr:spPr>
        <a:xfrm>
          <a:off x="3543300" y="22583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29" name="TextBox 28">
          <a:hlinkClick xmlns:r="http://schemas.openxmlformats.org/officeDocument/2006/relationships" r:id="rId20"/>
          <a:extLst>
            <a:ext uri="{FF2B5EF4-FFF2-40B4-BE49-F238E27FC236}">
              <a16:creationId xmlns:a16="http://schemas.microsoft.com/office/drawing/2014/main" id="{00000000-0008-0000-0A00-00001D000000}"/>
            </a:ext>
          </a:extLst>
        </xdr:cNvPr>
        <xdr:cNvSpPr txBox="1"/>
      </xdr:nvSpPr>
      <xdr:spPr>
        <a:xfrm>
          <a:off x="3543302" y="113823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29</xdr:row>
      <xdr:rowOff>628650</xdr:rowOff>
    </xdr:from>
    <xdr:to>
      <xdr:col>3</xdr:col>
      <xdr:colOff>161926</xdr:colOff>
      <xdr:row>29</xdr:row>
      <xdr:rowOff>781050</xdr:rowOff>
    </xdr:to>
    <xdr:sp macro="" textlink="">
      <xdr:nvSpPr>
        <xdr:cNvPr id="30" name="TextBox 29">
          <a:hlinkClick xmlns:r="http://schemas.openxmlformats.org/officeDocument/2006/relationships" r:id="rId21"/>
          <a:extLst>
            <a:ext uri="{FF2B5EF4-FFF2-40B4-BE49-F238E27FC236}">
              <a16:creationId xmlns:a16="http://schemas.microsoft.com/office/drawing/2014/main" id="{00000000-0008-0000-0A00-00001E000000}"/>
            </a:ext>
          </a:extLst>
        </xdr:cNvPr>
        <xdr:cNvSpPr txBox="1"/>
      </xdr:nvSpPr>
      <xdr:spPr>
        <a:xfrm>
          <a:off x="3543302" y="209835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1" name="TextBox 40">
          <a:hlinkClick xmlns:r="http://schemas.openxmlformats.org/officeDocument/2006/relationships" r:id="rId22"/>
          <a:extLst>
            <a:ext uri="{FF2B5EF4-FFF2-40B4-BE49-F238E27FC236}">
              <a16:creationId xmlns:a16="http://schemas.microsoft.com/office/drawing/2014/main" id="{00000000-0008-0000-0A00-000029000000}"/>
            </a:ext>
          </a:extLst>
        </xdr:cNvPr>
        <xdr:cNvSpPr txBox="1"/>
      </xdr:nvSpPr>
      <xdr:spPr>
        <a:xfrm>
          <a:off x="3543300" y="13782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7</xdr:row>
      <xdr:rowOff>628650</xdr:rowOff>
    </xdr:from>
    <xdr:to>
      <xdr:col>3</xdr:col>
      <xdr:colOff>161925</xdr:colOff>
      <xdr:row>7</xdr:row>
      <xdr:rowOff>781050</xdr:rowOff>
    </xdr:to>
    <xdr:sp macro="" textlink="">
      <xdr:nvSpPr>
        <xdr:cNvPr id="42" name="TextBox 41">
          <a:hlinkClick xmlns:r="http://schemas.openxmlformats.org/officeDocument/2006/relationships" r:id="rId23"/>
          <a:extLst>
            <a:ext uri="{FF2B5EF4-FFF2-40B4-BE49-F238E27FC236}">
              <a16:creationId xmlns:a16="http://schemas.microsoft.com/office/drawing/2014/main" id="{00000000-0008-0000-0A00-00002A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8</xdr:row>
      <xdr:rowOff>628650</xdr:rowOff>
    </xdr:from>
    <xdr:to>
      <xdr:col>3</xdr:col>
      <xdr:colOff>161925</xdr:colOff>
      <xdr:row>8</xdr:row>
      <xdr:rowOff>781050</xdr:rowOff>
    </xdr:to>
    <xdr:sp macro="" textlink="">
      <xdr:nvSpPr>
        <xdr:cNvPr id="43" name="TextBox 42">
          <a:hlinkClick xmlns:r="http://schemas.openxmlformats.org/officeDocument/2006/relationships" r:id="rId24"/>
          <a:extLst>
            <a:ext uri="{FF2B5EF4-FFF2-40B4-BE49-F238E27FC236}">
              <a16:creationId xmlns:a16="http://schemas.microsoft.com/office/drawing/2014/main" id="{00000000-0008-0000-0A00-00002B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44" name="TextBox 43">
          <a:hlinkClick xmlns:r="http://schemas.openxmlformats.org/officeDocument/2006/relationships" r:id="rId11"/>
          <a:extLst>
            <a:ext uri="{FF2B5EF4-FFF2-40B4-BE49-F238E27FC236}">
              <a16:creationId xmlns:a16="http://schemas.microsoft.com/office/drawing/2014/main" id="{00000000-0008-0000-0A00-00002C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45" name="TextBox 44">
          <a:hlinkClick xmlns:r="http://schemas.openxmlformats.org/officeDocument/2006/relationships" r:id="rId25"/>
          <a:extLst>
            <a:ext uri="{FF2B5EF4-FFF2-40B4-BE49-F238E27FC236}">
              <a16:creationId xmlns:a16="http://schemas.microsoft.com/office/drawing/2014/main" id="{00000000-0008-0000-0A00-00002D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46" name="TextBox 45">
          <a:hlinkClick xmlns:r="http://schemas.openxmlformats.org/officeDocument/2006/relationships" r:id="rId10"/>
          <a:extLst>
            <a:ext uri="{FF2B5EF4-FFF2-40B4-BE49-F238E27FC236}">
              <a16:creationId xmlns:a16="http://schemas.microsoft.com/office/drawing/2014/main" id="{00000000-0008-0000-0A00-00002E000000}"/>
            </a:ext>
          </a:extLst>
        </xdr:cNvPr>
        <xdr:cNvSpPr txBox="1"/>
      </xdr:nvSpPr>
      <xdr:spPr>
        <a:xfrm>
          <a:off x="3543302" y="41814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7" name="TextBox 46">
          <a:hlinkClick xmlns:r="http://schemas.openxmlformats.org/officeDocument/2006/relationships" r:id="rId26"/>
          <a:extLst>
            <a:ext uri="{FF2B5EF4-FFF2-40B4-BE49-F238E27FC236}">
              <a16:creationId xmlns:a16="http://schemas.microsoft.com/office/drawing/2014/main" id="{00000000-0008-0000-0A00-00002F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21</xdr:row>
      <xdr:rowOff>628650</xdr:rowOff>
    </xdr:from>
    <xdr:to>
      <xdr:col>3</xdr:col>
      <xdr:colOff>161925</xdr:colOff>
      <xdr:row>21</xdr:row>
      <xdr:rowOff>781050</xdr:rowOff>
    </xdr:to>
    <xdr:sp macro="" textlink="">
      <xdr:nvSpPr>
        <xdr:cNvPr id="48" name="TextBox 47">
          <a:hlinkClick xmlns:r="http://schemas.openxmlformats.org/officeDocument/2006/relationships" r:id="rId27"/>
          <a:extLst>
            <a:ext uri="{FF2B5EF4-FFF2-40B4-BE49-F238E27FC236}">
              <a16:creationId xmlns:a16="http://schemas.microsoft.com/office/drawing/2014/main" id="{00000000-0008-0000-0A00-000030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35</xdr:row>
      <xdr:rowOff>790575</xdr:rowOff>
    </xdr:from>
    <xdr:to>
      <xdr:col>3</xdr:col>
      <xdr:colOff>161926</xdr:colOff>
      <xdr:row>35</xdr:row>
      <xdr:rowOff>942975</xdr:rowOff>
    </xdr:to>
    <xdr:sp macro="" textlink="">
      <xdr:nvSpPr>
        <xdr:cNvPr id="49" name="TextBox 48">
          <a:hlinkClick xmlns:r="http://schemas.openxmlformats.org/officeDocument/2006/relationships" r:id="rId28"/>
          <a:extLst>
            <a:ext uri="{FF2B5EF4-FFF2-40B4-BE49-F238E27FC236}">
              <a16:creationId xmlns:a16="http://schemas.microsoft.com/office/drawing/2014/main" id="{00000000-0008-0000-0A00-000031000000}"/>
            </a:ext>
          </a:extLst>
        </xdr:cNvPr>
        <xdr:cNvSpPr txBox="1"/>
      </xdr:nvSpPr>
      <xdr:spPr>
        <a:xfrm>
          <a:off x="3543302" y="61055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37</xdr:row>
      <xdr:rowOff>790577</xdr:rowOff>
    </xdr:from>
    <xdr:to>
      <xdr:col>3</xdr:col>
      <xdr:colOff>161925</xdr:colOff>
      <xdr:row>37</xdr:row>
      <xdr:rowOff>942975</xdr:rowOff>
    </xdr:to>
    <xdr:sp macro="" textlink="">
      <xdr:nvSpPr>
        <xdr:cNvPr id="50" name="TextBox 49">
          <a:hlinkClick xmlns:r="http://schemas.openxmlformats.org/officeDocument/2006/relationships" r:id="rId29"/>
          <a:extLst>
            <a:ext uri="{FF2B5EF4-FFF2-40B4-BE49-F238E27FC236}">
              <a16:creationId xmlns:a16="http://schemas.microsoft.com/office/drawing/2014/main" id="{00000000-0008-0000-0A00-000032000000}"/>
            </a:ext>
          </a:extLst>
        </xdr:cNvPr>
        <xdr:cNvSpPr txBox="1"/>
      </xdr:nvSpPr>
      <xdr:spPr>
        <a:xfrm>
          <a:off x="3533775" y="8029577"/>
          <a:ext cx="152400" cy="15239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34</xdr:row>
      <xdr:rowOff>790575</xdr:rowOff>
    </xdr:from>
    <xdr:to>
      <xdr:col>3</xdr:col>
      <xdr:colOff>152401</xdr:colOff>
      <xdr:row>34</xdr:row>
      <xdr:rowOff>942975</xdr:rowOff>
    </xdr:to>
    <xdr:sp macro="" textlink="">
      <xdr:nvSpPr>
        <xdr:cNvPr id="51" name="TextBox 50">
          <a:hlinkClick xmlns:r="http://schemas.openxmlformats.org/officeDocument/2006/relationships" r:id="rId30"/>
          <a:extLst>
            <a:ext uri="{FF2B5EF4-FFF2-40B4-BE49-F238E27FC236}">
              <a16:creationId xmlns:a16="http://schemas.microsoft.com/office/drawing/2014/main" id="{00000000-0008-0000-0A00-000033000000}"/>
            </a:ext>
          </a:extLst>
        </xdr:cNvPr>
        <xdr:cNvSpPr txBox="1"/>
      </xdr:nvSpPr>
      <xdr:spPr>
        <a:xfrm>
          <a:off x="3533777" y="51435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36</xdr:row>
      <xdr:rowOff>790575</xdr:rowOff>
    </xdr:from>
    <xdr:to>
      <xdr:col>3</xdr:col>
      <xdr:colOff>161926</xdr:colOff>
      <xdr:row>36</xdr:row>
      <xdr:rowOff>942975</xdr:rowOff>
    </xdr:to>
    <xdr:sp macro="" textlink="">
      <xdr:nvSpPr>
        <xdr:cNvPr id="52" name="TextBox 51">
          <a:hlinkClick xmlns:r="http://schemas.openxmlformats.org/officeDocument/2006/relationships" r:id="rId31"/>
          <a:extLst>
            <a:ext uri="{FF2B5EF4-FFF2-40B4-BE49-F238E27FC236}">
              <a16:creationId xmlns:a16="http://schemas.microsoft.com/office/drawing/2014/main" id="{00000000-0008-0000-0A00-000034000000}"/>
            </a:ext>
          </a:extLst>
        </xdr:cNvPr>
        <xdr:cNvSpPr txBox="1"/>
      </xdr:nvSpPr>
      <xdr:spPr>
        <a:xfrm>
          <a:off x="3543302" y="70675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39</xdr:row>
      <xdr:rowOff>790575</xdr:rowOff>
    </xdr:from>
    <xdr:to>
      <xdr:col>3</xdr:col>
      <xdr:colOff>152401</xdr:colOff>
      <xdr:row>39</xdr:row>
      <xdr:rowOff>942975</xdr:rowOff>
    </xdr:to>
    <xdr:sp macro="" textlink="">
      <xdr:nvSpPr>
        <xdr:cNvPr id="53" name="TextBox 52">
          <a:hlinkClick xmlns:r="http://schemas.openxmlformats.org/officeDocument/2006/relationships" r:id="rId32"/>
          <a:extLst>
            <a:ext uri="{FF2B5EF4-FFF2-40B4-BE49-F238E27FC236}">
              <a16:creationId xmlns:a16="http://schemas.microsoft.com/office/drawing/2014/main" id="{00000000-0008-0000-0A00-000035000000}"/>
            </a:ext>
          </a:extLst>
        </xdr:cNvPr>
        <xdr:cNvSpPr txBox="1"/>
      </xdr:nvSpPr>
      <xdr:spPr>
        <a:xfrm>
          <a:off x="3533777" y="99536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40</xdr:row>
      <xdr:rowOff>790575</xdr:rowOff>
    </xdr:from>
    <xdr:to>
      <xdr:col>3</xdr:col>
      <xdr:colOff>161926</xdr:colOff>
      <xdr:row>40</xdr:row>
      <xdr:rowOff>942975</xdr:rowOff>
    </xdr:to>
    <xdr:sp macro="" textlink="">
      <xdr:nvSpPr>
        <xdr:cNvPr id="54" name="TextBox 53">
          <a:hlinkClick xmlns:r="http://schemas.openxmlformats.org/officeDocument/2006/relationships" r:id="rId33"/>
          <a:extLst>
            <a:ext uri="{FF2B5EF4-FFF2-40B4-BE49-F238E27FC236}">
              <a16:creationId xmlns:a16="http://schemas.microsoft.com/office/drawing/2014/main" id="{00000000-0008-0000-0A00-000036000000}"/>
            </a:ext>
          </a:extLst>
        </xdr:cNvPr>
        <xdr:cNvSpPr txBox="1"/>
      </xdr:nvSpPr>
      <xdr:spPr>
        <a:xfrm>
          <a:off x="3543302" y="109156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41</xdr:row>
      <xdr:rowOff>790575</xdr:rowOff>
    </xdr:from>
    <xdr:to>
      <xdr:col>3</xdr:col>
      <xdr:colOff>152401</xdr:colOff>
      <xdr:row>41</xdr:row>
      <xdr:rowOff>942975</xdr:rowOff>
    </xdr:to>
    <xdr:sp macro="" textlink="">
      <xdr:nvSpPr>
        <xdr:cNvPr id="55" name="TextBox 54">
          <a:hlinkClick xmlns:r="http://schemas.openxmlformats.org/officeDocument/2006/relationships" r:id="rId34"/>
          <a:extLst>
            <a:ext uri="{FF2B5EF4-FFF2-40B4-BE49-F238E27FC236}">
              <a16:creationId xmlns:a16="http://schemas.microsoft.com/office/drawing/2014/main" id="{00000000-0008-0000-0A00-000037000000}"/>
            </a:ext>
          </a:extLst>
        </xdr:cNvPr>
        <xdr:cNvSpPr txBox="1"/>
      </xdr:nvSpPr>
      <xdr:spPr>
        <a:xfrm>
          <a:off x="3533777" y="118776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42</xdr:row>
      <xdr:rowOff>790575</xdr:rowOff>
    </xdr:from>
    <xdr:to>
      <xdr:col>3</xdr:col>
      <xdr:colOff>161926</xdr:colOff>
      <xdr:row>42</xdr:row>
      <xdr:rowOff>942975</xdr:rowOff>
    </xdr:to>
    <xdr:sp macro="" textlink="">
      <xdr:nvSpPr>
        <xdr:cNvPr id="56" name="TextBox 55">
          <a:hlinkClick xmlns:r="http://schemas.openxmlformats.org/officeDocument/2006/relationships" r:id="rId35"/>
          <a:extLst>
            <a:ext uri="{FF2B5EF4-FFF2-40B4-BE49-F238E27FC236}">
              <a16:creationId xmlns:a16="http://schemas.microsoft.com/office/drawing/2014/main" id="{00000000-0008-0000-0A00-000038000000}"/>
            </a:ext>
          </a:extLst>
        </xdr:cNvPr>
        <xdr:cNvSpPr txBox="1"/>
      </xdr:nvSpPr>
      <xdr:spPr>
        <a:xfrm>
          <a:off x="3543302" y="128397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44</xdr:row>
      <xdr:rowOff>790575</xdr:rowOff>
    </xdr:from>
    <xdr:to>
      <xdr:col>3</xdr:col>
      <xdr:colOff>152401</xdr:colOff>
      <xdr:row>44</xdr:row>
      <xdr:rowOff>942975</xdr:rowOff>
    </xdr:to>
    <xdr:sp macro="" textlink="">
      <xdr:nvSpPr>
        <xdr:cNvPr id="57" name="TextBox 56">
          <a:hlinkClick xmlns:r="http://schemas.openxmlformats.org/officeDocument/2006/relationships" r:id="rId36"/>
          <a:extLst>
            <a:ext uri="{FF2B5EF4-FFF2-40B4-BE49-F238E27FC236}">
              <a16:creationId xmlns:a16="http://schemas.microsoft.com/office/drawing/2014/main" id="{00000000-0008-0000-0A00-000039000000}"/>
            </a:ext>
          </a:extLst>
        </xdr:cNvPr>
        <xdr:cNvSpPr txBox="1"/>
      </xdr:nvSpPr>
      <xdr:spPr>
        <a:xfrm>
          <a:off x="3533777" y="147637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43</xdr:row>
      <xdr:rowOff>790575</xdr:rowOff>
    </xdr:from>
    <xdr:to>
      <xdr:col>3</xdr:col>
      <xdr:colOff>152401</xdr:colOff>
      <xdr:row>43</xdr:row>
      <xdr:rowOff>942975</xdr:rowOff>
    </xdr:to>
    <xdr:sp macro="" textlink="">
      <xdr:nvSpPr>
        <xdr:cNvPr id="58" name="TextBox 57">
          <a:hlinkClick xmlns:r="http://schemas.openxmlformats.org/officeDocument/2006/relationships" r:id="rId37"/>
          <a:extLst>
            <a:ext uri="{FF2B5EF4-FFF2-40B4-BE49-F238E27FC236}">
              <a16:creationId xmlns:a16="http://schemas.microsoft.com/office/drawing/2014/main" id="{00000000-0008-0000-0A00-00003A000000}"/>
            </a:ext>
          </a:extLst>
        </xdr:cNvPr>
        <xdr:cNvSpPr txBox="1"/>
      </xdr:nvSpPr>
      <xdr:spPr>
        <a:xfrm>
          <a:off x="3533777" y="138017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45</xdr:row>
      <xdr:rowOff>790575</xdr:rowOff>
    </xdr:from>
    <xdr:to>
      <xdr:col>3</xdr:col>
      <xdr:colOff>152401</xdr:colOff>
      <xdr:row>45</xdr:row>
      <xdr:rowOff>942975</xdr:rowOff>
    </xdr:to>
    <xdr:sp macro="" textlink="">
      <xdr:nvSpPr>
        <xdr:cNvPr id="59" name="TextBox 58">
          <a:hlinkClick xmlns:r="http://schemas.openxmlformats.org/officeDocument/2006/relationships" r:id="rId38"/>
          <a:extLst>
            <a:ext uri="{FF2B5EF4-FFF2-40B4-BE49-F238E27FC236}">
              <a16:creationId xmlns:a16="http://schemas.microsoft.com/office/drawing/2014/main" id="{00000000-0008-0000-0A00-00003B000000}"/>
            </a:ext>
          </a:extLst>
        </xdr:cNvPr>
        <xdr:cNvSpPr txBox="1"/>
      </xdr:nvSpPr>
      <xdr:spPr>
        <a:xfrm>
          <a:off x="3533777" y="157257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46</xdr:row>
      <xdr:rowOff>790575</xdr:rowOff>
    </xdr:from>
    <xdr:to>
      <xdr:col>3</xdr:col>
      <xdr:colOff>152399</xdr:colOff>
      <xdr:row>46</xdr:row>
      <xdr:rowOff>942975</xdr:rowOff>
    </xdr:to>
    <xdr:sp macro="" textlink="">
      <xdr:nvSpPr>
        <xdr:cNvPr id="60" name="TextBox 59">
          <a:hlinkClick xmlns:r="http://schemas.openxmlformats.org/officeDocument/2006/relationships" r:id="rId39"/>
          <a:extLst>
            <a:ext uri="{FF2B5EF4-FFF2-40B4-BE49-F238E27FC236}">
              <a16:creationId xmlns:a16="http://schemas.microsoft.com/office/drawing/2014/main" id="{00000000-0008-0000-0A00-00003C000000}"/>
            </a:ext>
          </a:extLst>
        </xdr:cNvPr>
        <xdr:cNvSpPr txBox="1"/>
      </xdr:nvSpPr>
      <xdr:spPr>
        <a:xfrm>
          <a:off x="3533775" y="254889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200025</xdr:colOff>
          <xdr:row>1</xdr:row>
          <xdr:rowOff>95250</xdr:rowOff>
        </xdr:from>
        <xdr:to>
          <xdr:col>2</xdr:col>
          <xdr:colOff>828675</xdr:colOff>
          <xdr:row>1</xdr:row>
          <xdr:rowOff>666750</xdr:rowOff>
        </xdr:to>
        <xdr:sp macro="" textlink="">
          <xdr:nvSpPr>
            <xdr:cNvPr id="36865" name="CommandButton1" hidden="1">
              <a:extLst>
                <a:ext uri="{63B3BB69-23CF-44E3-9099-C40C66FF867C}">
                  <a14:compatExt spid="_x0000_s36865"/>
                </a:ext>
                <a:ext uri="{FF2B5EF4-FFF2-40B4-BE49-F238E27FC236}">
                  <a16:creationId xmlns:a16="http://schemas.microsoft.com/office/drawing/2014/main" id="{00000000-0008-0000-0B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xdr:row>
          <xdr:rowOff>85725</xdr:rowOff>
        </xdr:from>
        <xdr:to>
          <xdr:col>2</xdr:col>
          <xdr:colOff>809625</xdr:colOff>
          <xdr:row>2</xdr:row>
          <xdr:rowOff>647700</xdr:rowOff>
        </xdr:to>
        <xdr:sp macro="" textlink="">
          <xdr:nvSpPr>
            <xdr:cNvPr id="36866" name="CommandButton2" hidden="1">
              <a:extLst>
                <a:ext uri="{63B3BB69-23CF-44E3-9099-C40C66FF867C}">
                  <a14:compatExt spid="_x0000_s36866"/>
                </a:ext>
                <a:ext uri="{FF2B5EF4-FFF2-40B4-BE49-F238E27FC236}">
                  <a16:creationId xmlns:a16="http://schemas.microsoft.com/office/drawing/2014/main" id="{00000000-0008-0000-0B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14</xdr:row>
          <xdr:rowOff>133350</xdr:rowOff>
        </xdr:from>
        <xdr:to>
          <xdr:col>2</xdr:col>
          <xdr:colOff>800100</xdr:colOff>
          <xdr:row>14</xdr:row>
          <xdr:rowOff>695325</xdr:rowOff>
        </xdr:to>
        <xdr:sp macro="" textlink="">
          <xdr:nvSpPr>
            <xdr:cNvPr id="36867" name="CommandButton3" hidden="1">
              <a:extLst>
                <a:ext uri="{63B3BB69-23CF-44E3-9099-C40C66FF867C}">
                  <a14:compatExt spid="_x0000_s36867"/>
                </a:ext>
                <a:ext uri="{FF2B5EF4-FFF2-40B4-BE49-F238E27FC236}">
                  <a16:creationId xmlns:a16="http://schemas.microsoft.com/office/drawing/2014/main" id="{00000000-0008-0000-0B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15</xdr:row>
          <xdr:rowOff>114300</xdr:rowOff>
        </xdr:from>
        <xdr:to>
          <xdr:col>2</xdr:col>
          <xdr:colOff>809625</xdr:colOff>
          <xdr:row>15</xdr:row>
          <xdr:rowOff>666750</xdr:rowOff>
        </xdr:to>
        <xdr:sp macro="" textlink="">
          <xdr:nvSpPr>
            <xdr:cNvPr id="36868" name="CommandButton4" hidden="1">
              <a:extLst>
                <a:ext uri="{63B3BB69-23CF-44E3-9099-C40C66FF867C}">
                  <a14:compatExt spid="_x0000_s36868"/>
                </a:ext>
                <a:ext uri="{FF2B5EF4-FFF2-40B4-BE49-F238E27FC236}">
                  <a16:creationId xmlns:a16="http://schemas.microsoft.com/office/drawing/2014/main" id="{00000000-0008-0000-0B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503997</xdr:colOff>
      <xdr:row>0</xdr:row>
      <xdr:rowOff>55907</xdr:rowOff>
    </xdr:from>
    <xdr:to>
      <xdr:col>9</xdr:col>
      <xdr:colOff>679367</xdr:colOff>
      <xdr:row>0</xdr:row>
      <xdr:rowOff>302287</xdr:rowOff>
    </xdr:to>
    <xdr:pic>
      <xdr:nvPicPr>
        <xdr:cNvPr id="10" name="Picture 9">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0543347" y="55907"/>
          <a:ext cx="1718420" cy="246380"/>
        </a:xfrm>
        <a:prstGeom prst="rect">
          <a:avLst/>
        </a:prstGeom>
      </xdr:spPr>
    </xdr:pic>
    <xdr:clientData/>
  </xdr:twoCellAnchor>
  <xdr:twoCellAnchor>
    <xdr:from>
      <xdr:col>3</xdr:col>
      <xdr:colOff>19050</xdr:colOff>
      <xdr:row>3</xdr:row>
      <xdr:rowOff>628650</xdr:rowOff>
    </xdr:from>
    <xdr:to>
      <xdr:col>3</xdr:col>
      <xdr:colOff>161925</xdr:colOff>
      <xdr:row>3</xdr:row>
      <xdr:rowOff>781050</xdr:rowOff>
    </xdr:to>
    <xdr:sp macro="" textlink="">
      <xdr:nvSpPr>
        <xdr:cNvPr id="11" name="TextBox 10">
          <a:hlinkClick xmlns:r="http://schemas.openxmlformats.org/officeDocument/2006/relationships" r:id="rId2"/>
          <a:extLst>
            <a:ext uri="{FF2B5EF4-FFF2-40B4-BE49-F238E27FC236}">
              <a16:creationId xmlns:a16="http://schemas.microsoft.com/office/drawing/2014/main" id="{00000000-0008-0000-0B00-00000B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4</xdr:row>
      <xdr:rowOff>628650</xdr:rowOff>
    </xdr:from>
    <xdr:to>
      <xdr:col>3</xdr:col>
      <xdr:colOff>161925</xdr:colOff>
      <xdr:row>4</xdr:row>
      <xdr:rowOff>781050</xdr:rowOff>
    </xdr:to>
    <xdr:sp macro="" textlink="">
      <xdr:nvSpPr>
        <xdr:cNvPr id="12" name="TextBox 11">
          <a:hlinkClick xmlns:r="http://schemas.openxmlformats.org/officeDocument/2006/relationships" r:id="rId3"/>
          <a:extLst>
            <a:ext uri="{FF2B5EF4-FFF2-40B4-BE49-F238E27FC236}">
              <a16:creationId xmlns:a16="http://schemas.microsoft.com/office/drawing/2014/main" id="{00000000-0008-0000-0B00-00000C000000}"/>
            </a:ext>
          </a:extLst>
        </xdr:cNvPr>
        <xdr:cNvSpPr txBox="1"/>
      </xdr:nvSpPr>
      <xdr:spPr>
        <a:xfrm>
          <a:off x="3543300" y="3381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5</xdr:row>
      <xdr:rowOff>628650</xdr:rowOff>
    </xdr:from>
    <xdr:to>
      <xdr:col>3</xdr:col>
      <xdr:colOff>161925</xdr:colOff>
      <xdr:row>5</xdr:row>
      <xdr:rowOff>781050</xdr:rowOff>
    </xdr:to>
    <xdr:sp macro="" textlink="">
      <xdr:nvSpPr>
        <xdr:cNvPr id="13" name="TextBox 12">
          <a:hlinkClick xmlns:r="http://schemas.openxmlformats.org/officeDocument/2006/relationships" r:id="rId4"/>
          <a:extLst>
            <a:ext uri="{FF2B5EF4-FFF2-40B4-BE49-F238E27FC236}">
              <a16:creationId xmlns:a16="http://schemas.microsoft.com/office/drawing/2014/main" id="{00000000-0008-0000-0B00-00000D000000}"/>
            </a:ext>
          </a:extLst>
        </xdr:cNvPr>
        <xdr:cNvSpPr txBox="1"/>
      </xdr:nvSpPr>
      <xdr:spPr>
        <a:xfrm>
          <a:off x="3543300" y="4181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6</xdr:row>
      <xdr:rowOff>628650</xdr:rowOff>
    </xdr:from>
    <xdr:to>
      <xdr:col>3</xdr:col>
      <xdr:colOff>161925</xdr:colOff>
      <xdr:row>6</xdr:row>
      <xdr:rowOff>781050</xdr:rowOff>
    </xdr:to>
    <xdr:sp macro="" textlink="">
      <xdr:nvSpPr>
        <xdr:cNvPr id="14" name="TextBox 13">
          <a:hlinkClick xmlns:r="http://schemas.openxmlformats.org/officeDocument/2006/relationships" r:id="rId5"/>
          <a:extLst>
            <a:ext uri="{FF2B5EF4-FFF2-40B4-BE49-F238E27FC236}">
              <a16:creationId xmlns:a16="http://schemas.microsoft.com/office/drawing/2014/main" id="{00000000-0008-0000-0B00-00000E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9</xdr:row>
      <xdr:rowOff>628650</xdr:rowOff>
    </xdr:from>
    <xdr:to>
      <xdr:col>3</xdr:col>
      <xdr:colOff>161925</xdr:colOff>
      <xdr:row>9</xdr:row>
      <xdr:rowOff>781050</xdr:rowOff>
    </xdr:to>
    <xdr:sp macro="" textlink="">
      <xdr:nvSpPr>
        <xdr:cNvPr id="15" name="TextBox 14">
          <a:hlinkClick xmlns:r="http://schemas.openxmlformats.org/officeDocument/2006/relationships" r:id="rId6"/>
          <a:extLst>
            <a:ext uri="{FF2B5EF4-FFF2-40B4-BE49-F238E27FC236}">
              <a16:creationId xmlns:a16="http://schemas.microsoft.com/office/drawing/2014/main" id="{00000000-0008-0000-0B00-00000F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10</xdr:row>
      <xdr:rowOff>628650</xdr:rowOff>
    </xdr:from>
    <xdr:to>
      <xdr:col>3</xdr:col>
      <xdr:colOff>161925</xdr:colOff>
      <xdr:row>10</xdr:row>
      <xdr:rowOff>781050</xdr:rowOff>
    </xdr:to>
    <xdr:sp macro="" textlink="">
      <xdr:nvSpPr>
        <xdr:cNvPr id="16" name="TextBox 15">
          <a:hlinkClick xmlns:r="http://schemas.openxmlformats.org/officeDocument/2006/relationships" r:id="rId7"/>
          <a:extLst>
            <a:ext uri="{FF2B5EF4-FFF2-40B4-BE49-F238E27FC236}">
              <a16:creationId xmlns:a16="http://schemas.microsoft.com/office/drawing/2014/main" id="{00000000-0008-0000-0B00-000010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11</xdr:row>
      <xdr:rowOff>628650</xdr:rowOff>
    </xdr:from>
    <xdr:to>
      <xdr:col>3</xdr:col>
      <xdr:colOff>161925</xdr:colOff>
      <xdr:row>11</xdr:row>
      <xdr:rowOff>781050</xdr:rowOff>
    </xdr:to>
    <xdr:sp macro="" textlink="">
      <xdr:nvSpPr>
        <xdr:cNvPr id="17" name="TextBox 16">
          <a:hlinkClick xmlns:r="http://schemas.openxmlformats.org/officeDocument/2006/relationships" r:id="rId8"/>
          <a:extLst>
            <a:ext uri="{FF2B5EF4-FFF2-40B4-BE49-F238E27FC236}">
              <a16:creationId xmlns:a16="http://schemas.microsoft.com/office/drawing/2014/main" id="{00000000-0008-0000-0B00-000011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12</xdr:row>
      <xdr:rowOff>628650</xdr:rowOff>
    </xdr:from>
    <xdr:to>
      <xdr:col>3</xdr:col>
      <xdr:colOff>161925</xdr:colOff>
      <xdr:row>12</xdr:row>
      <xdr:rowOff>781050</xdr:rowOff>
    </xdr:to>
    <xdr:sp macro="" textlink="">
      <xdr:nvSpPr>
        <xdr:cNvPr id="18" name="TextBox 17">
          <a:hlinkClick xmlns:r="http://schemas.openxmlformats.org/officeDocument/2006/relationships" r:id="rId9"/>
          <a:extLst>
            <a:ext uri="{FF2B5EF4-FFF2-40B4-BE49-F238E27FC236}">
              <a16:creationId xmlns:a16="http://schemas.microsoft.com/office/drawing/2014/main" id="{00000000-0008-0000-0B00-000012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19" name="TextBox 18">
          <a:hlinkClick xmlns:r="http://schemas.openxmlformats.org/officeDocument/2006/relationships" r:id="rId10"/>
          <a:extLst>
            <a:ext uri="{FF2B5EF4-FFF2-40B4-BE49-F238E27FC236}">
              <a16:creationId xmlns:a16="http://schemas.microsoft.com/office/drawing/2014/main" id="{00000000-0008-0000-0B00-000013000000}"/>
            </a:ext>
          </a:extLst>
        </xdr:cNvPr>
        <xdr:cNvSpPr txBox="1"/>
      </xdr:nvSpPr>
      <xdr:spPr>
        <a:xfrm>
          <a:off x="3543300" y="12982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20" name="TextBox 19">
          <a:hlinkClick xmlns:r="http://schemas.openxmlformats.org/officeDocument/2006/relationships" r:id="rId11"/>
          <a:extLst>
            <a:ext uri="{FF2B5EF4-FFF2-40B4-BE49-F238E27FC236}">
              <a16:creationId xmlns:a16="http://schemas.microsoft.com/office/drawing/2014/main" id="{00000000-0008-0000-0B00-000014000000}"/>
            </a:ext>
          </a:extLst>
        </xdr:cNvPr>
        <xdr:cNvSpPr txBox="1"/>
      </xdr:nvSpPr>
      <xdr:spPr>
        <a:xfrm>
          <a:off x="3543300" y="14582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22</xdr:row>
      <xdr:rowOff>628650</xdr:rowOff>
    </xdr:from>
    <xdr:to>
      <xdr:col>3</xdr:col>
      <xdr:colOff>161925</xdr:colOff>
      <xdr:row>22</xdr:row>
      <xdr:rowOff>781050</xdr:rowOff>
    </xdr:to>
    <xdr:sp macro="" textlink="">
      <xdr:nvSpPr>
        <xdr:cNvPr id="21" name="TextBox 20">
          <a:hlinkClick xmlns:r="http://schemas.openxmlformats.org/officeDocument/2006/relationships" r:id="rId12"/>
          <a:extLst>
            <a:ext uri="{FF2B5EF4-FFF2-40B4-BE49-F238E27FC236}">
              <a16:creationId xmlns:a16="http://schemas.microsoft.com/office/drawing/2014/main" id="{00000000-0008-0000-0B00-000015000000}"/>
            </a:ext>
          </a:extLst>
        </xdr:cNvPr>
        <xdr:cNvSpPr txBox="1"/>
      </xdr:nvSpPr>
      <xdr:spPr>
        <a:xfrm>
          <a:off x="3543300" y="15382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23</xdr:row>
      <xdr:rowOff>628650</xdr:rowOff>
    </xdr:from>
    <xdr:to>
      <xdr:col>3</xdr:col>
      <xdr:colOff>161925</xdr:colOff>
      <xdr:row>23</xdr:row>
      <xdr:rowOff>781050</xdr:rowOff>
    </xdr:to>
    <xdr:sp macro="" textlink="">
      <xdr:nvSpPr>
        <xdr:cNvPr id="22" name="TextBox 21">
          <a:hlinkClick xmlns:r="http://schemas.openxmlformats.org/officeDocument/2006/relationships" r:id="rId13"/>
          <a:extLst>
            <a:ext uri="{FF2B5EF4-FFF2-40B4-BE49-F238E27FC236}">
              <a16:creationId xmlns:a16="http://schemas.microsoft.com/office/drawing/2014/main" id="{00000000-0008-0000-0B00-000016000000}"/>
            </a:ext>
          </a:extLst>
        </xdr:cNvPr>
        <xdr:cNvSpPr txBox="1"/>
      </xdr:nvSpPr>
      <xdr:spPr>
        <a:xfrm>
          <a:off x="3543300" y="16182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24</xdr:row>
      <xdr:rowOff>628650</xdr:rowOff>
    </xdr:from>
    <xdr:to>
      <xdr:col>3</xdr:col>
      <xdr:colOff>161925</xdr:colOff>
      <xdr:row>24</xdr:row>
      <xdr:rowOff>781050</xdr:rowOff>
    </xdr:to>
    <xdr:sp macro="" textlink="">
      <xdr:nvSpPr>
        <xdr:cNvPr id="23" name="TextBox 22">
          <a:hlinkClick xmlns:r="http://schemas.openxmlformats.org/officeDocument/2006/relationships" r:id="rId14"/>
          <a:extLst>
            <a:ext uri="{FF2B5EF4-FFF2-40B4-BE49-F238E27FC236}">
              <a16:creationId xmlns:a16="http://schemas.microsoft.com/office/drawing/2014/main" id="{00000000-0008-0000-0B00-000017000000}"/>
            </a:ext>
          </a:extLst>
        </xdr:cNvPr>
        <xdr:cNvSpPr txBox="1"/>
      </xdr:nvSpPr>
      <xdr:spPr>
        <a:xfrm>
          <a:off x="3543300" y="169830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25</xdr:row>
      <xdr:rowOff>628650</xdr:rowOff>
    </xdr:from>
    <xdr:to>
      <xdr:col>3</xdr:col>
      <xdr:colOff>161925</xdr:colOff>
      <xdr:row>25</xdr:row>
      <xdr:rowOff>781050</xdr:rowOff>
    </xdr:to>
    <xdr:sp macro="" textlink="">
      <xdr:nvSpPr>
        <xdr:cNvPr id="24" name="TextBox 23">
          <a:hlinkClick xmlns:r="http://schemas.openxmlformats.org/officeDocument/2006/relationships" r:id="rId15"/>
          <a:extLst>
            <a:ext uri="{FF2B5EF4-FFF2-40B4-BE49-F238E27FC236}">
              <a16:creationId xmlns:a16="http://schemas.microsoft.com/office/drawing/2014/main" id="{00000000-0008-0000-0B00-000018000000}"/>
            </a:ext>
          </a:extLst>
        </xdr:cNvPr>
        <xdr:cNvSpPr txBox="1"/>
      </xdr:nvSpPr>
      <xdr:spPr>
        <a:xfrm>
          <a:off x="3543300" y="177831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26</xdr:row>
      <xdr:rowOff>628650</xdr:rowOff>
    </xdr:from>
    <xdr:to>
      <xdr:col>3</xdr:col>
      <xdr:colOff>161925</xdr:colOff>
      <xdr:row>26</xdr:row>
      <xdr:rowOff>781050</xdr:rowOff>
    </xdr:to>
    <xdr:sp macro="" textlink="">
      <xdr:nvSpPr>
        <xdr:cNvPr id="25" name="TextBox 24">
          <a:hlinkClick xmlns:r="http://schemas.openxmlformats.org/officeDocument/2006/relationships" r:id="rId16"/>
          <a:extLst>
            <a:ext uri="{FF2B5EF4-FFF2-40B4-BE49-F238E27FC236}">
              <a16:creationId xmlns:a16="http://schemas.microsoft.com/office/drawing/2014/main" id="{00000000-0008-0000-0B00-000019000000}"/>
            </a:ext>
          </a:extLst>
        </xdr:cNvPr>
        <xdr:cNvSpPr txBox="1"/>
      </xdr:nvSpPr>
      <xdr:spPr>
        <a:xfrm>
          <a:off x="3543300" y="18583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27</xdr:row>
      <xdr:rowOff>628650</xdr:rowOff>
    </xdr:from>
    <xdr:to>
      <xdr:col>3</xdr:col>
      <xdr:colOff>161925</xdr:colOff>
      <xdr:row>27</xdr:row>
      <xdr:rowOff>781050</xdr:rowOff>
    </xdr:to>
    <xdr:sp macro="" textlink="">
      <xdr:nvSpPr>
        <xdr:cNvPr id="26" name="TextBox 25">
          <a:hlinkClick xmlns:r="http://schemas.openxmlformats.org/officeDocument/2006/relationships" r:id="rId17"/>
          <a:extLst>
            <a:ext uri="{FF2B5EF4-FFF2-40B4-BE49-F238E27FC236}">
              <a16:creationId xmlns:a16="http://schemas.microsoft.com/office/drawing/2014/main" id="{00000000-0008-0000-0B00-00001A000000}"/>
            </a:ext>
          </a:extLst>
        </xdr:cNvPr>
        <xdr:cNvSpPr txBox="1"/>
      </xdr:nvSpPr>
      <xdr:spPr>
        <a:xfrm>
          <a:off x="3543300" y="19383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28</xdr:row>
      <xdr:rowOff>628650</xdr:rowOff>
    </xdr:from>
    <xdr:to>
      <xdr:col>3</xdr:col>
      <xdr:colOff>161925</xdr:colOff>
      <xdr:row>28</xdr:row>
      <xdr:rowOff>781050</xdr:rowOff>
    </xdr:to>
    <xdr:sp macro="" textlink="">
      <xdr:nvSpPr>
        <xdr:cNvPr id="27" name="TextBox 26">
          <a:hlinkClick xmlns:r="http://schemas.openxmlformats.org/officeDocument/2006/relationships" r:id="rId18"/>
          <a:extLst>
            <a:ext uri="{FF2B5EF4-FFF2-40B4-BE49-F238E27FC236}">
              <a16:creationId xmlns:a16="http://schemas.microsoft.com/office/drawing/2014/main" id="{00000000-0008-0000-0B00-00001B000000}"/>
            </a:ext>
          </a:extLst>
        </xdr:cNvPr>
        <xdr:cNvSpPr txBox="1"/>
      </xdr:nvSpPr>
      <xdr:spPr>
        <a:xfrm>
          <a:off x="3543300" y="20183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31</xdr:row>
      <xdr:rowOff>628650</xdr:rowOff>
    </xdr:from>
    <xdr:to>
      <xdr:col>3</xdr:col>
      <xdr:colOff>161925</xdr:colOff>
      <xdr:row>31</xdr:row>
      <xdr:rowOff>781050</xdr:rowOff>
    </xdr:to>
    <xdr:sp macro="" textlink="">
      <xdr:nvSpPr>
        <xdr:cNvPr id="28" name="TextBox 27">
          <a:hlinkClick xmlns:r="http://schemas.openxmlformats.org/officeDocument/2006/relationships" r:id="rId19"/>
          <a:extLst>
            <a:ext uri="{FF2B5EF4-FFF2-40B4-BE49-F238E27FC236}">
              <a16:creationId xmlns:a16="http://schemas.microsoft.com/office/drawing/2014/main" id="{00000000-0008-0000-0B00-00001C000000}"/>
            </a:ext>
          </a:extLst>
        </xdr:cNvPr>
        <xdr:cNvSpPr txBox="1"/>
      </xdr:nvSpPr>
      <xdr:spPr>
        <a:xfrm>
          <a:off x="3543300" y="22583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29" name="TextBox 28">
          <a:hlinkClick xmlns:r="http://schemas.openxmlformats.org/officeDocument/2006/relationships" r:id="rId20"/>
          <a:extLst>
            <a:ext uri="{FF2B5EF4-FFF2-40B4-BE49-F238E27FC236}">
              <a16:creationId xmlns:a16="http://schemas.microsoft.com/office/drawing/2014/main" id="{00000000-0008-0000-0B00-00001D000000}"/>
            </a:ext>
          </a:extLst>
        </xdr:cNvPr>
        <xdr:cNvSpPr txBox="1"/>
      </xdr:nvSpPr>
      <xdr:spPr>
        <a:xfrm>
          <a:off x="3543302" y="113823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29</xdr:row>
      <xdr:rowOff>628650</xdr:rowOff>
    </xdr:from>
    <xdr:to>
      <xdr:col>3</xdr:col>
      <xdr:colOff>161926</xdr:colOff>
      <xdr:row>29</xdr:row>
      <xdr:rowOff>781050</xdr:rowOff>
    </xdr:to>
    <xdr:sp macro="" textlink="">
      <xdr:nvSpPr>
        <xdr:cNvPr id="30" name="TextBox 29">
          <a:hlinkClick xmlns:r="http://schemas.openxmlformats.org/officeDocument/2006/relationships" r:id="rId21"/>
          <a:extLst>
            <a:ext uri="{FF2B5EF4-FFF2-40B4-BE49-F238E27FC236}">
              <a16:creationId xmlns:a16="http://schemas.microsoft.com/office/drawing/2014/main" id="{00000000-0008-0000-0B00-00001E000000}"/>
            </a:ext>
          </a:extLst>
        </xdr:cNvPr>
        <xdr:cNvSpPr txBox="1"/>
      </xdr:nvSpPr>
      <xdr:spPr>
        <a:xfrm>
          <a:off x="3543302" y="209835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1" name="TextBox 40">
          <a:hlinkClick xmlns:r="http://schemas.openxmlformats.org/officeDocument/2006/relationships" r:id="rId22"/>
          <a:extLst>
            <a:ext uri="{FF2B5EF4-FFF2-40B4-BE49-F238E27FC236}">
              <a16:creationId xmlns:a16="http://schemas.microsoft.com/office/drawing/2014/main" id="{00000000-0008-0000-0B00-000029000000}"/>
            </a:ext>
          </a:extLst>
        </xdr:cNvPr>
        <xdr:cNvSpPr txBox="1"/>
      </xdr:nvSpPr>
      <xdr:spPr>
        <a:xfrm>
          <a:off x="3543300" y="13782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7</xdr:row>
      <xdr:rowOff>628650</xdr:rowOff>
    </xdr:from>
    <xdr:to>
      <xdr:col>3</xdr:col>
      <xdr:colOff>161925</xdr:colOff>
      <xdr:row>7</xdr:row>
      <xdr:rowOff>781050</xdr:rowOff>
    </xdr:to>
    <xdr:sp macro="" textlink="">
      <xdr:nvSpPr>
        <xdr:cNvPr id="42" name="TextBox 41">
          <a:hlinkClick xmlns:r="http://schemas.openxmlformats.org/officeDocument/2006/relationships" r:id="rId23"/>
          <a:extLst>
            <a:ext uri="{FF2B5EF4-FFF2-40B4-BE49-F238E27FC236}">
              <a16:creationId xmlns:a16="http://schemas.microsoft.com/office/drawing/2014/main" id="{00000000-0008-0000-0B00-00002A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8</xdr:row>
      <xdr:rowOff>628650</xdr:rowOff>
    </xdr:from>
    <xdr:to>
      <xdr:col>3</xdr:col>
      <xdr:colOff>161925</xdr:colOff>
      <xdr:row>8</xdr:row>
      <xdr:rowOff>781050</xdr:rowOff>
    </xdr:to>
    <xdr:sp macro="" textlink="">
      <xdr:nvSpPr>
        <xdr:cNvPr id="43" name="TextBox 42">
          <a:hlinkClick xmlns:r="http://schemas.openxmlformats.org/officeDocument/2006/relationships" r:id="rId24"/>
          <a:extLst>
            <a:ext uri="{FF2B5EF4-FFF2-40B4-BE49-F238E27FC236}">
              <a16:creationId xmlns:a16="http://schemas.microsoft.com/office/drawing/2014/main" id="{00000000-0008-0000-0B00-00002B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44" name="TextBox 43">
          <a:hlinkClick xmlns:r="http://schemas.openxmlformats.org/officeDocument/2006/relationships" r:id="rId11"/>
          <a:extLst>
            <a:ext uri="{FF2B5EF4-FFF2-40B4-BE49-F238E27FC236}">
              <a16:creationId xmlns:a16="http://schemas.microsoft.com/office/drawing/2014/main" id="{00000000-0008-0000-0B00-00002C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45" name="TextBox 44">
          <a:hlinkClick xmlns:r="http://schemas.openxmlformats.org/officeDocument/2006/relationships" r:id="rId25"/>
          <a:extLst>
            <a:ext uri="{FF2B5EF4-FFF2-40B4-BE49-F238E27FC236}">
              <a16:creationId xmlns:a16="http://schemas.microsoft.com/office/drawing/2014/main" id="{00000000-0008-0000-0B00-00002D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46" name="TextBox 45">
          <a:hlinkClick xmlns:r="http://schemas.openxmlformats.org/officeDocument/2006/relationships" r:id="rId10"/>
          <a:extLst>
            <a:ext uri="{FF2B5EF4-FFF2-40B4-BE49-F238E27FC236}">
              <a16:creationId xmlns:a16="http://schemas.microsoft.com/office/drawing/2014/main" id="{00000000-0008-0000-0B00-00002E000000}"/>
            </a:ext>
          </a:extLst>
        </xdr:cNvPr>
        <xdr:cNvSpPr txBox="1"/>
      </xdr:nvSpPr>
      <xdr:spPr>
        <a:xfrm>
          <a:off x="3543302" y="41814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7" name="TextBox 46">
          <a:hlinkClick xmlns:r="http://schemas.openxmlformats.org/officeDocument/2006/relationships" r:id="rId26"/>
          <a:extLst>
            <a:ext uri="{FF2B5EF4-FFF2-40B4-BE49-F238E27FC236}">
              <a16:creationId xmlns:a16="http://schemas.microsoft.com/office/drawing/2014/main" id="{00000000-0008-0000-0B00-00002F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21</xdr:row>
      <xdr:rowOff>628650</xdr:rowOff>
    </xdr:from>
    <xdr:to>
      <xdr:col>3</xdr:col>
      <xdr:colOff>161925</xdr:colOff>
      <xdr:row>21</xdr:row>
      <xdr:rowOff>781050</xdr:rowOff>
    </xdr:to>
    <xdr:sp macro="" textlink="">
      <xdr:nvSpPr>
        <xdr:cNvPr id="48" name="TextBox 47">
          <a:hlinkClick xmlns:r="http://schemas.openxmlformats.org/officeDocument/2006/relationships" r:id="rId27"/>
          <a:extLst>
            <a:ext uri="{FF2B5EF4-FFF2-40B4-BE49-F238E27FC236}">
              <a16:creationId xmlns:a16="http://schemas.microsoft.com/office/drawing/2014/main" id="{00000000-0008-0000-0B00-000030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35</xdr:row>
      <xdr:rowOff>790575</xdr:rowOff>
    </xdr:from>
    <xdr:to>
      <xdr:col>3</xdr:col>
      <xdr:colOff>161926</xdr:colOff>
      <xdr:row>35</xdr:row>
      <xdr:rowOff>942975</xdr:rowOff>
    </xdr:to>
    <xdr:sp macro="" textlink="">
      <xdr:nvSpPr>
        <xdr:cNvPr id="49" name="TextBox 48">
          <a:hlinkClick xmlns:r="http://schemas.openxmlformats.org/officeDocument/2006/relationships" r:id="rId28"/>
          <a:extLst>
            <a:ext uri="{FF2B5EF4-FFF2-40B4-BE49-F238E27FC236}">
              <a16:creationId xmlns:a16="http://schemas.microsoft.com/office/drawing/2014/main" id="{00000000-0008-0000-0B00-000031000000}"/>
            </a:ext>
          </a:extLst>
        </xdr:cNvPr>
        <xdr:cNvSpPr txBox="1"/>
      </xdr:nvSpPr>
      <xdr:spPr>
        <a:xfrm>
          <a:off x="3543302" y="61055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37</xdr:row>
      <xdr:rowOff>790577</xdr:rowOff>
    </xdr:from>
    <xdr:to>
      <xdr:col>3</xdr:col>
      <xdr:colOff>161925</xdr:colOff>
      <xdr:row>37</xdr:row>
      <xdr:rowOff>942975</xdr:rowOff>
    </xdr:to>
    <xdr:sp macro="" textlink="">
      <xdr:nvSpPr>
        <xdr:cNvPr id="50" name="TextBox 49">
          <a:hlinkClick xmlns:r="http://schemas.openxmlformats.org/officeDocument/2006/relationships" r:id="rId29"/>
          <a:extLst>
            <a:ext uri="{FF2B5EF4-FFF2-40B4-BE49-F238E27FC236}">
              <a16:creationId xmlns:a16="http://schemas.microsoft.com/office/drawing/2014/main" id="{00000000-0008-0000-0B00-000032000000}"/>
            </a:ext>
          </a:extLst>
        </xdr:cNvPr>
        <xdr:cNvSpPr txBox="1"/>
      </xdr:nvSpPr>
      <xdr:spPr>
        <a:xfrm>
          <a:off x="3533775" y="8029577"/>
          <a:ext cx="152400" cy="15239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34</xdr:row>
      <xdr:rowOff>790575</xdr:rowOff>
    </xdr:from>
    <xdr:to>
      <xdr:col>3</xdr:col>
      <xdr:colOff>152401</xdr:colOff>
      <xdr:row>34</xdr:row>
      <xdr:rowOff>942975</xdr:rowOff>
    </xdr:to>
    <xdr:sp macro="" textlink="">
      <xdr:nvSpPr>
        <xdr:cNvPr id="51" name="TextBox 50">
          <a:hlinkClick xmlns:r="http://schemas.openxmlformats.org/officeDocument/2006/relationships" r:id="rId30"/>
          <a:extLst>
            <a:ext uri="{FF2B5EF4-FFF2-40B4-BE49-F238E27FC236}">
              <a16:creationId xmlns:a16="http://schemas.microsoft.com/office/drawing/2014/main" id="{00000000-0008-0000-0B00-000033000000}"/>
            </a:ext>
          </a:extLst>
        </xdr:cNvPr>
        <xdr:cNvSpPr txBox="1"/>
      </xdr:nvSpPr>
      <xdr:spPr>
        <a:xfrm>
          <a:off x="3533777" y="51435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36</xdr:row>
      <xdr:rowOff>790575</xdr:rowOff>
    </xdr:from>
    <xdr:to>
      <xdr:col>3</xdr:col>
      <xdr:colOff>161926</xdr:colOff>
      <xdr:row>36</xdr:row>
      <xdr:rowOff>942975</xdr:rowOff>
    </xdr:to>
    <xdr:sp macro="" textlink="">
      <xdr:nvSpPr>
        <xdr:cNvPr id="52" name="TextBox 51">
          <a:hlinkClick xmlns:r="http://schemas.openxmlformats.org/officeDocument/2006/relationships" r:id="rId31"/>
          <a:extLst>
            <a:ext uri="{FF2B5EF4-FFF2-40B4-BE49-F238E27FC236}">
              <a16:creationId xmlns:a16="http://schemas.microsoft.com/office/drawing/2014/main" id="{00000000-0008-0000-0B00-000034000000}"/>
            </a:ext>
          </a:extLst>
        </xdr:cNvPr>
        <xdr:cNvSpPr txBox="1"/>
      </xdr:nvSpPr>
      <xdr:spPr>
        <a:xfrm>
          <a:off x="3543302" y="70675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39</xdr:row>
      <xdr:rowOff>790575</xdr:rowOff>
    </xdr:from>
    <xdr:to>
      <xdr:col>3</xdr:col>
      <xdr:colOff>152401</xdr:colOff>
      <xdr:row>39</xdr:row>
      <xdr:rowOff>942975</xdr:rowOff>
    </xdr:to>
    <xdr:sp macro="" textlink="">
      <xdr:nvSpPr>
        <xdr:cNvPr id="53" name="TextBox 52">
          <a:hlinkClick xmlns:r="http://schemas.openxmlformats.org/officeDocument/2006/relationships" r:id="rId32"/>
          <a:extLst>
            <a:ext uri="{FF2B5EF4-FFF2-40B4-BE49-F238E27FC236}">
              <a16:creationId xmlns:a16="http://schemas.microsoft.com/office/drawing/2014/main" id="{00000000-0008-0000-0B00-000035000000}"/>
            </a:ext>
          </a:extLst>
        </xdr:cNvPr>
        <xdr:cNvSpPr txBox="1"/>
      </xdr:nvSpPr>
      <xdr:spPr>
        <a:xfrm>
          <a:off x="3533777" y="99536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40</xdr:row>
      <xdr:rowOff>790575</xdr:rowOff>
    </xdr:from>
    <xdr:to>
      <xdr:col>3</xdr:col>
      <xdr:colOff>161926</xdr:colOff>
      <xdr:row>40</xdr:row>
      <xdr:rowOff>942975</xdr:rowOff>
    </xdr:to>
    <xdr:sp macro="" textlink="">
      <xdr:nvSpPr>
        <xdr:cNvPr id="54" name="TextBox 53">
          <a:hlinkClick xmlns:r="http://schemas.openxmlformats.org/officeDocument/2006/relationships" r:id="rId33"/>
          <a:extLst>
            <a:ext uri="{FF2B5EF4-FFF2-40B4-BE49-F238E27FC236}">
              <a16:creationId xmlns:a16="http://schemas.microsoft.com/office/drawing/2014/main" id="{00000000-0008-0000-0B00-000036000000}"/>
            </a:ext>
          </a:extLst>
        </xdr:cNvPr>
        <xdr:cNvSpPr txBox="1"/>
      </xdr:nvSpPr>
      <xdr:spPr>
        <a:xfrm>
          <a:off x="3543302" y="109156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41</xdr:row>
      <xdr:rowOff>790575</xdr:rowOff>
    </xdr:from>
    <xdr:to>
      <xdr:col>3</xdr:col>
      <xdr:colOff>152401</xdr:colOff>
      <xdr:row>41</xdr:row>
      <xdr:rowOff>942975</xdr:rowOff>
    </xdr:to>
    <xdr:sp macro="" textlink="">
      <xdr:nvSpPr>
        <xdr:cNvPr id="55" name="TextBox 54">
          <a:hlinkClick xmlns:r="http://schemas.openxmlformats.org/officeDocument/2006/relationships" r:id="rId34"/>
          <a:extLst>
            <a:ext uri="{FF2B5EF4-FFF2-40B4-BE49-F238E27FC236}">
              <a16:creationId xmlns:a16="http://schemas.microsoft.com/office/drawing/2014/main" id="{00000000-0008-0000-0B00-000037000000}"/>
            </a:ext>
          </a:extLst>
        </xdr:cNvPr>
        <xdr:cNvSpPr txBox="1"/>
      </xdr:nvSpPr>
      <xdr:spPr>
        <a:xfrm>
          <a:off x="3533777" y="118776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42</xdr:row>
      <xdr:rowOff>790575</xdr:rowOff>
    </xdr:from>
    <xdr:to>
      <xdr:col>3</xdr:col>
      <xdr:colOff>161926</xdr:colOff>
      <xdr:row>42</xdr:row>
      <xdr:rowOff>942975</xdr:rowOff>
    </xdr:to>
    <xdr:sp macro="" textlink="">
      <xdr:nvSpPr>
        <xdr:cNvPr id="56" name="TextBox 55">
          <a:hlinkClick xmlns:r="http://schemas.openxmlformats.org/officeDocument/2006/relationships" r:id="rId35"/>
          <a:extLst>
            <a:ext uri="{FF2B5EF4-FFF2-40B4-BE49-F238E27FC236}">
              <a16:creationId xmlns:a16="http://schemas.microsoft.com/office/drawing/2014/main" id="{00000000-0008-0000-0B00-000038000000}"/>
            </a:ext>
          </a:extLst>
        </xdr:cNvPr>
        <xdr:cNvSpPr txBox="1"/>
      </xdr:nvSpPr>
      <xdr:spPr>
        <a:xfrm>
          <a:off x="3543302" y="128397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44</xdr:row>
      <xdr:rowOff>790575</xdr:rowOff>
    </xdr:from>
    <xdr:to>
      <xdr:col>3</xdr:col>
      <xdr:colOff>152401</xdr:colOff>
      <xdr:row>44</xdr:row>
      <xdr:rowOff>942975</xdr:rowOff>
    </xdr:to>
    <xdr:sp macro="" textlink="">
      <xdr:nvSpPr>
        <xdr:cNvPr id="57" name="TextBox 56">
          <a:hlinkClick xmlns:r="http://schemas.openxmlformats.org/officeDocument/2006/relationships" r:id="rId36"/>
          <a:extLst>
            <a:ext uri="{FF2B5EF4-FFF2-40B4-BE49-F238E27FC236}">
              <a16:creationId xmlns:a16="http://schemas.microsoft.com/office/drawing/2014/main" id="{00000000-0008-0000-0B00-000039000000}"/>
            </a:ext>
          </a:extLst>
        </xdr:cNvPr>
        <xdr:cNvSpPr txBox="1"/>
      </xdr:nvSpPr>
      <xdr:spPr>
        <a:xfrm>
          <a:off x="3533777" y="147637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43</xdr:row>
      <xdr:rowOff>790575</xdr:rowOff>
    </xdr:from>
    <xdr:to>
      <xdr:col>3</xdr:col>
      <xdr:colOff>152401</xdr:colOff>
      <xdr:row>43</xdr:row>
      <xdr:rowOff>942975</xdr:rowOff>
    </xdr:to>
    <xdr:sp macro="" textlink="">
      <xdr:nvSpPr>
        <xdr:cNvPr id="58" name="TextBox 57">
          <a:hlinkClick xmlns:r="http://schemas.openxmlformats.org/officeDocument/2006/relationships" r:id="rId37"/>
          <a:extLst>
            <a:ext uri="{FF2B5EF4-FFF2-40B4-BE49-F238E27FC236}">
              <a16:creationId xmlns:a16="http://schemas.microsoft.com/office/drawing/2014/main" id="{00000000-0008-0000-0B00-00003A000000}"/>
            </a:ext>
          </a:extLst>
        </xdr:cNvPr>
        <xdr:cNvSpPr txBox="1"/>
      </xdr:nvSpPr>
      <xdr:spPr>
        <a:xfrm>
          <a:off x="3533777" y="138017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45</xdr:row>
      <xdr:rowOff>790575</xdr:rowOff>
    </xdr:from>
    <xdr:to>
      <xdr:col>3</xdr:col>
      <xdr:colOff>152401</xdr:colOff>
      <xdr:row>45</xdr:row>
      <xdr:rowOff>942975</xdr:rowOff>
    </xdr:to>
    <xdr:sp macro="" textlink="">
      <xdr:nvSpPr>
        <xdr:cNvPr id="59" name="TextBox 58">
          <a:hlinkClick xmlns:r="http://schemas.openxmlformats.org/officeDocument/2006/relationships" r:id="rId38"/>
          <a:extLst>
            <a:ext uri="{FF2B5EF4-FFF2-40B4-BE49-F238E27FC236}">
              <a16:creationId xmlns:a16="http://schemas.microsoft.com/office/drawing/2014/main" id="{00000000-0008-0000-0B00-00003B000000}"/>
            </a:ext>
          </a:extLst>
        </xdr:cNvPr>
        <xdr:cNvSpPr txBox="1"/>
      </xdr:nvSpPr>
      <xdr:spPr>
        <a:xfrm>
          <a:off x="3533777" y="157257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46</xdr:row>
      <xdr:rowOff>790575</xdr:rowOff>
    </xdr:from>
    <xdr:to>
      <xdr:col>3</xdr:col>
      <xdr:colOff>152399</xdr:colOff>
      <xdr:row>46</xdr:row>
      <xdr:rowOff>942975</xdr:rowOff>
    </xdr:to>
    <xdr:sp macro="" textlink="">
      <xdr:nvSpPr>
        <xdr:cNvPr id="60" name="TextBox 59">
          <a:hlinkClick xmlns:r="http://schemas.openxmlformats.org/officeDocument/2006/relationships" r:id="rId39"/>
          <a:extLst>
            <a:ext uri="{FF2B5EF4-FFF2-40B4-BE49-F238E27FC236}">
              <a16:creationId xmlns:a16="http://schemas.microsoft.com/office/drawing/2014/main" id="{00000000-0008-0000-0B00-00003C000000}"/>
            </a:ext>
          </a:extLst>
        </xdr:cNvPr>
        <xdr:cNvSpPr txBox="1"/>
      </xdr:nvSpPr>
      <xdr:spPr>
        <a:xfrm>
          <a:off x="3533775" y="254889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200025</xdr:colOff>
          <xdr:row>1</xdr:row>
          <xdr:rowOff>95250</xdr:rowOff>
        </xdr:from>
        <xdr:to>
          <xdr:col>2</xdr:col>
          <xdr:colOff>828675</xdr:colOff>
          <xdr:row>1</xdr:row>
          <xdr:rowOff>666750</xdr:rowOff>
        </xdr:to>
        <xdr:sp macro="" textlink="">
          <xdr:nvSpPr>
            <xdr:cNvPr id="37889" name="CommandButton1"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xdr:row>
          <xdr:rowOff>85725</xdr:rowOff>
        </xdr:from>
        <xdr:to>
          <xdr:col>2</xdr:col>
          <xdr:colOff>809625</xdr:colOff>
          <xdr:row>2</xdr:row>
          <xdr:rowOff>647700</xdr:rowOff>
        </xdr:to>
        <xdr:sp macro="" textlink="">
          <xdr:nvSpPr>
            <xdr:cNvPr id="37890" name="CommandButton2" hidden="1">
              <a:extLst>
                <a:ext uri="{63B3BB69-23CF-44E3-9099-C40C66FF867C}">
                  <a14:compatExt spid="_x0000_s37890"/>
                </a:ext>
                <a:ext uri="{FF2B5EF4-FFF2-40B4-BE49-F238E27FC236}">
                  <a16:creationId xmlns:a16="http://schemas.microsoft.com/office/drawing/2014/main" id="{00000000-0008-0000-0C00-000002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14</xdr:row>
          <xdr:rowOff>133350</xdr:rowOff>
        </xdr:from>
        <xdr:to>
          <xdr:col>2</xdr:col>
          <xdr:colOff>800100</xdr:colOff>
          <xdr:row>14</xdr:row>
          <xdr:rowOff>695325</xdr:rowOff>
        </xdr:to>
        <xdr:sp macro="" textlink="">
          <xdr:nvSpPr>
            <xdr:cNvPr id="37891" name="CommandButton3" hidden="1">
              <a:extLst>
                <a:ext uri="{63B3BB69-23CF-44E3-9099-C40C66FF867C}">
                  <a14:compatExt spid="_x0000_s37891"/>
                </a:ext>
                <a:ext uri="{FF2B5EF4-FFF2-40B4-BE49-F238E27FC236}">
                  <a16:creationId xmlns:a16="http://schemas.microsoft.com/office/drawing/2014/main" id="{00000000-0008-0000-0C00-000003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15</xdr:row>
          <xdr:rowOff>114300</xdr:rowOff>
        </xdr:from>
        <xdr:to>
          <xdr:col>2</xdr:col>
          <xdr:colOff>809625</xdr:colOff>
          <xdr:row>15</xdr:row>
          <xdr:rowOff>666750</xdr:rowOff>
        </xdr:to>
        <xdr:sp macro="" textlink="">
          <xdr:nvSpPr>
            <xdr:cNvPr id="37892" name="CommandButton4" hidden="1">
              <a:extLst>
                <a:ext uri="{63B3BB69-23CF-44E3-9099-C40C66FF867C}">
                  <a14:compatExt spid="_x0000_s37892"/>
                </a:ext>
                <a:ext uri="{FF2B5EF4-FFF2-40B4-BE49-F238E27FC236}">
                  <a16:creationId xmlns:a16="http://schemas.microsoft.com/office/drawing/2014/main" id="{00000000-0008-0000-0C00-000004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503997</xdr:colOff>
      <xdr:row>0</xdr:row>
      <xdr:rowOff>55907</xdr:rowOff>
    </xdr:from>
    <xdr:to>
      <xdr:col>9</xdr:col>
      <xdr:colOff>679367</xdr:colOff>
      <xdr:row>0</xdr:row>
      <xdr:rowOff>302287</xdr:rowOff>
    </xdr:to>
    <xdr:pic>
      <xdr:nvPicPr>
        <xdr:cNvPr id="10" name="Picture 9">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0543347" y="55907"/>
          <a:ext cx="1718420" cy="246380"/>
        </a:xfrm>
        <a:prstGeom prst="rect">
          <a:avLst/>
        </a:prstGeom>
      </xdr:spPr>
    </xdr:pic>
    <xdr:clientData/>
  </xdr:twoCellAnchor>
  <xdr:twoCellAnchor>
    <xdr:from>
      <xdr:col>3</xdr:col>
      <xdr:colOff>19050</xdr:colOff>
      <xdr:row>3</xdr:row>
      <xdr:rowOff>628650</xdr:rowOff>
    </xdr:from>
    <xdr:to>
      <xdr:col>3</xdr:col>
      <xdr:colOff>161925</xdr:colOff>
      <xdr:row>3</xdr:row>
      <xdr:rowOff>781050</xdr:rowOff>
    </xdr:to>
    <xdr:sp macro="" textlink="">
      <xdr:nvSpPr>
        <xdr:cNvPr id="11" name="TextBox 10">
          <a:hlinkClick xmlns:r="http://schemas.openxmlformats.org/officeDocument/2006/relationships" r:id="rId2"/>
          <a:extLst>
            <a:ext uri="{FF2B5EF4-FFF2-40B4-BE49-F238E27FC236}">
              <a16:creationId xmlns:a16="http://schemas.microsoft.com/office/drawing/2014/main" id="{00000000-0008-0000-0C00-00000B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4</xdr:row>
      <xdr:rowOff>628650</xdr:rowOff>
    </xdr:from>
    <xdr:to>
      <xdr:col>3</xdr:col>
      <xdr:colOff>161925</xdr:colOff>
      <xdr:row>4</xdr:row>
      <xdr:rowOff>781050</xdr:rowOff>
    </xdr:to>
    <xdr:sp macro="" textlink="">
      <xdr:nvSpPr>
        <xdr:cNvPr id="12" name="TextBox 11">
          <a:hlinkClick xmlns:r="http://schemas.openxmlformats.org/officeDocument/2006/relationships" r:id="rId3"/>
          <a:extLst>
            <a:ext uri="{FF2B5EF4-FFF2-40B4-BE49-F238E27FC236}">
              <a16:creationId xmlns:a16="http://schemas.microsoft.com/office/drawing/2014/main" id="{00000000-0008-0000-0C00-00000C000000}"/>
            </a:ext>
          </a:extLst>
        </xdr:cNvPr>
        <xdr:cNvSpPr txBox="1"/>
      </xdr:nvSpPr>
      <xdr:spPr>
        <a:xfrm>
          <a:off x="3543300" y="3381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5</xdr:row>
      <xdr:rowOff>628650</xdr:rowOff>
    </xdr:from>
    <xdr:to>
      <xdr:col>3</xdr:col>
      <xdr:colOff>161925</xdr:colOff>
      <xdr:row>5</xdr:row>
      <xdr:rowOff>781050</xdr:rowOff>
    </xdr:to>
    <xdr:sp macro="" textlink="">
      <xdr:nvSpPr>
        <xdr:cNvPr id="13" name="TextBox 12">
          <a:hlinkClick xmlns:r="http://schemas.openxmlformats.org/officeDocument/2006/relationships" r:id="rId4"/>
          <a:extLst>
            <a:ext uri="{FF2B5EF4-FFF2-40B4-BE49-F238E27FC236}">
              <a16:creationId xmlns:a16="http://schemas.microsoft.com/office/drawing/2014/main" id="{00000000-0008-0000-0C00-00000D000000}"/>
            </a:ext>
          </a:extLst>
        </xdr:cNvPr>
        <xdr:cNvSpPr txBox="1"/>
      </xdr:nvSpPr>
      <xdr:spPr>
        <a:xfrm>
          <a:off x="3543300" y="4181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6</xdr:row>
      <xdr:rowOff>628650</xdr:rowOff>
    </xdr:from>
    <xdr:to>
      <xdr:col>3</xdr:col>
      <xdr:colOff>161925</xdr:colOff>
      <xdr:row>6</xdr:row>
      <xdr:rowOff>781050</xdr:rowOff>
    </xdr:to>
    <xdr:sp macro="" textlink="">
      <xdr:nvSpPr>
        <xdr:cNvPr id="14" name="TextBox 13">
          <a:hlinkClick xmlns:r="http://schemas.openxmlformats.org/officeDocument/2006/relationships" r:id="rId5"/>
          <a:extLst>
            <a:ext uri="{FF2B5EF4-FFF2-40B4-BE49-F238E27FC236}">
              <a16:creationId xmlns:a16="http://schemas.microsoft.com/office/drawing/2014/main" id="{00000000-0008-0000-0C00-00000E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9</xdr:row>
      <xdr:rowOff>628650</xdr:rowOff>
    </xdr:from>
    <xdr:to>
      <xdr:col>3</xdr:col>
      <xdr:colOff>161925</xdr:colOff>
      <xdr:row>9</xdr:row>
      <xdr:rowOff>781050</xdr:rowOff>
    </xdr:to>
    <xdr:sp macro="" textlink="">
      <xdr:nvSpPr>
        <xdr:cNvPr id="15" name="TextBox 14">
          <a:hlinkClick xmlns:r="http://schemas.openxmlformats.org/officeDocument/2006/relationships" r:id="rId6"/>
          <a:extLst>
            <a:ext uri="{FF2B5EF4-FFF2-40B4-BE49-F238E27FC236}">
              <a16:creationId xmlns:a16="http://schemas.microsoft.com/office/drawing/2014/main" id="{00000000-0008-0000-0C00-00000F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10</xdr:row>
      <xdr:rowOff>628650</xdr:rowOff>
    </xdr:from>
    <xdr:to>
      <xdr:col>3</xdr:col>
      <xdr:colOff>161925</xdr:colOff>
      <xdr:row>10</xdr:row>
      <xdr:rowOff>781050</xdr:rowOff>
    </xdr:to>
    <xdr:sp macro="" textlink="">
      <xdr:nvSpPr>
        <xdr:cNvPr id="16" name="TextBox 15">
          <a:hlinkClick xmlns:r="http://schemas.openxmlformats.org/officeDocument/2006/relationships" r:id="rId7"/>
          <a:extLst>
            <a:ext uri="{FF2B5EF4-FFF2-40B4-BE49-F238E27FC236}">
              <a16:creationId xmlns:a16="http://schemas.microsoft.com/office/drawing/2014/main" id="{00000000-0008-0000-0C00-000010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11</xdr:row>
      <xdr:rowOff>628650</xdr:rowOff>
    </xdr:from>
    <xdr:to>
      <xdr:col>3</xdr:col>
      <xdr:colOff>161925</xdr:colOff>
      <xdr:row>11</xdr:row>
      <xdr:rowOff>781050</xdr:rowOff>
    </xdr:to>
    <xdr:sp macro="" textlink="">
      <xdr:nvSpPr>
        <xdr:cNvPr id="17" name="TextBox 16">
          <a:hlinkClick xmlns:r="http://schemas.openxmlformats.org/officeDocument/2006/relationships" r:id="rId8"/>
          <a:extLst>
            <a:ext uri="{FF2B5EF4-FFF2-40B4-BE49-F238E27FC236}">
              <a16:creationId xmlns:a16="http://schemas.microsoft.com/office/drawing/2014/main" id="{00000000-0008-0000-0C00-000011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12</xdr:row>
      <xdr:rowOff>628650</xdr:rowOff>
    </xdr:from>
    <xdr:to>
      <xdr:col>3</xdr:col>
      <xdr:colOff>161925</xdr:colOff>
      <xdr:row>12</xdr:row>
      <xdr:rowOff>781050</xdr:rowOff>
    </xdr:to>
    <xdr:sp macro="" textlink="">
      <xdr:nvSpPr>
        <xdr:cNvPr id="18" name="TextBox 17">
          <a:hlinkClick xmlns:r="http://schemas.openxmlformats.org/officeDocument/2006/relationships" r:id="rId9"/>
          <a:extLst>
            <a:ext uri="{FF2B5EF4-FFF2-40B4-BE49-F238E27FC236}">
              <a16:creationId xmlns:a16="http://schemas.microsoft.com/office/drawing/2014/main" id="{00000000-0008-0000-0C00-000012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19" name="TextBox 18">
          <a:hlinkClick xmlns:r="http://schemas.openxmlformats.org/officeDocument/2006/relationships" r:id="rId10"/>
          <a:extLst>
            <a:ext uri="{FF2B5EF4-FFF2-40B4-BE49-F238E27FC236}">
              <a16:creationId xmlns:a16="http://schemas.microsoft.com/office/drawing/2014/main" id="{00000000-0008-0000-0C00-000013000000}"/>
            </a:ext>
          </a:extLst>
        </xdr:cNvPr>
        <xdr:cNvSpPr txBox="1"/>
      </xdr:nvSpPr>
      <xdr:spPr>
        <a:xfrm>
          <a:off x="3543300" y="12982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20" name="TextBox 19">
          <a:hlinkClick xmlns:r="http://schemas.openxmlformats.org/officeDocument/2006/relationships" r:id="rId11"/>
          <a:extLst>
            <a:ext uri="{FF2B5EF4-FFF2-40B4-BE49-F238E27FC236}">
              <a16:creationId xmlns:a16="http://schemas.microsoft.com/office/drawing/2014/main" id="{00000000-0008-0000-0C00-000014000000}"/>
            </a:ext>
          </a:extLst>
        </xdr:cNvPr>
        <xdr:cNvSpPr txBox="1"/>
      </xdr:nvSpPr>
      <xdr:spPr>
        <a:xfrm>
          <a:off x="3543300" y="14582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22</xdr:row>
      <xdr:rowOff>628650</xdr:rowOff>
    </xdr:from>
    <xdr:to>
      <xdr:col>3</xdr:col>
      <xdr:colOff>161925</xdr:colOff>
      <xdr:row>22</xdr:row>
      <xdr:rowOff>781050</xdr:rowOff>
    </xdr:to>
    <xdr:sp macro="" textlink="">
      <xdr:nvSpPr>
        <xdr:cNvPr id="21" name="TextBox 20">
          <a:hlinkClick xmlns:r="http://schemas.openxmlformats.org/officeDocument/2006/relationships" r:id="rId12"/>
          <a:extLst>
            <a:ext uri="{FF2B5EF4-FFF2-40B4-BE49-F238E27FC236}">
              <a16:creationId xmlns:a16="http://schemas.microsoft.com/office/drawing/2014/main" id="{00000000-0008-0000-0C00-000015000000}"/>
            </a:ext>
          </a:extLst>
        </xdr:cNvPr>
        <xdr:cNvSpPr txBox="1"/>
      </xdr:nvSpPr>
      <xdr:spPr>
        <a:xfrm>
          <a:off x="3543300" y="15382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23</xdr:row>
      <xdr:rowOff>628650</xdr:rowOff>
    </xdr:from>
    <xdr:to>
      <xdr:col>3</xdr:col>
      <xdr:colOff>161925</xdr:colOff>
      <xdr:row>23</xdr:row>
      <xdr:rowOff>781050</xdr:rowOff>
    </xdr:to>
    <xdr:sp macro="" textlink="">
      <xdr:nvSpPr>
        <xdr:cNvPr id="22" name="TextBox 21">
          <a:hlinkClick xmlns:r="http://schemas.openxmlformats.org/officeDocument/2006/relationships" r:id="rId13"/>
          <a:extLst>
            <a:ext uri="{FF2B5EF4-FFF2-40B4-BE49-F238E27FC236}">
              <a16:creationId xmlns:a16="http://schemas.microsoft.com/office/drawing/2014/main" id="{00000000-0008-0000-0C00-000016000000}"/>
            </a:ext>
          </a:extLst>
        </xdr:cNvPr>
        <xdr:cNvSpPr txBox="1"/>
      </xdr:nvSpPr>
      <xdr:spPr>
        <a:xfrm>
          <a:off x="3543300" y="16182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24</xdr:row>
      <xdr:rowOff>628650</xdr:rowOff>
    </xdr:from>
    <xdr:to>
      <xdr:col>3</xdr:col>
      <xdr:colOff>161925</xdr:colOff>
      <xdr:row>24</xdr:row>
      <xdr:rowOff>781050</xdr:rowOff>
    </xdr:to>
    <xdr:sp macro="" textlink="">
      <xdr:nvSpPr>
        <xdr:cNvPr id="23" name="TextBox 22">
          <a:hlinkClick xmlns:r="http://schemas.openxmlformats.org/officeDocument/2006/relationships" r:id="rId14"/>
          <a:extLst>
            <a:ext uri="{FF2B5EF4-FFF2-40B4-BE49-F238E27FC236}">
              <a16:creationId xmlns:a16="http://schemas.microsoft.com/office/drawing/2014/main" id="{00000000-0008-0000-0C00-000017000000}"/>
            </a:ext>
          </a:extLst>
        </xdr:cNvPr>
        <xdr:cNvSpPr txBox="1"/>
      </xdr:nvSpPr>
      <xdr:spPr>
        <a:xfrm>
          <a:off x="3543300" y="169830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25</xdr:row>
      <xdr:rowOff>628650</xdr:rowOff>
    </xdr:from>
    <xdr:to>
      <xdr:col>3</xdr:col>
      <xdr:colOff>161925</xdr:colOff>
      <xdr:row>25</xdr:row>
      <xdr:rowOff>781050</xdr:rowOff>
    </xdr:to>
    <xdr:sp macro="" textlink="">
      <xdr:nvSpPr>
        <xdr:cNvPr id="24" name="TextBox 23">
          <a:hlinkClick xmlns:r="http://schemas.openxmlformats.org/officeDocument/2006/relationships" r:id="rId15"/>
          <a:extLst>
            <a:ext uri="{FF2B5EF4-FFF2-40B4-BE49-F238E27FC236}">
              <a16:creationId xmlns:a16="http://schemas.microsoft.com/office/drawing/2014/main" id="{00000000-0008-0000-0C00-000018000000}"/>
            </a:ext>
          </a:extLst>
        </xdr:cNvPr>
        <xdr:cNvSpPr txBox="1"/>
      </xdr:nvSpPr>
      <xdr:spPr>
        <a:xfrm>
          <a:off x="3543300" y="177831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26</xdr:row>
      <xdr:rowOff>628650</xdr:rowOff>
    </xdr:from>
    <xdr:to>
      <xdr:col>3</xdr:col>
      <xdr:colOff>161925</xdr:colOff>
      <xdr:row>26</xdr:row>
      <xdr:rowOff>781050</xdr:rowOff>
    </xdr:to>
    <xdr:sp macro="" textlink="">
      <xdr:nvSpPr>
        <xdr:cNvPr id="25" name="TextBox 24">
          <a:hlinkClick xmlns:r="http://schemas.openxmlformats.org/officeDocument/2006/relationships" r:id="rId16"/>
          <a:extLst>
            <a:ext uri="{FF2B5EF4-FFF2-40B4-BE49-F238E27FC236}">
              <a16:creationId xmlns:a16="http://schemas.microsoft.com/office/drawing/2014/main" id="{00000000-0008-0000-0C00-000019000000}"/>
            </a:ext>
          </a:extLst>
        </xdr:cNvPr>
        <xdr:cNvSpPr txBox="1"/>
      </xdr:nvSpPr>
      <xdr:spPr>
        <a:xfrm>
          <a:off x="3543300" y="18583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27</xdr:row>
      <xdr:rowOff>628650</xdr:rowOff>
    </xdr:from>
    <xdr:to>
      <xdr:col>3</xdr:col>
      <xdr:colOff>161925</xdr:colOff>
      <xdr:row>27</xdr:row>
      <xdr:rowOff>781050</xdr:rowOff>
    </xdr:to>
    <xdr:sp macro="" textlink="">
      <xdr:nvSpPr>
        <xdr:cNvPr id="26" name="TextBox 25">
          <a:hlinkClick xmlns:r="http://schemas.openxmlformats.org/officeDocument/2006/relationships" r:id="rId17"/>
          <a:extLst>
            <a:ext uri="{FF2B5EF4-FFF2-40B4-BE49-F238E27FC236}">
              <a16:creationId xmlns:a16="http://schemas.microsoft.com/office/drawing/2014/main" id="{00000000-0008-0000-0C00-00001A000000}"/>
            </a:ext>
          </a:extLst>
        </xdr:cNvPr>
        <xdr:cNvSpPr txBox="1"/>
      </xdr:nvSpPr>
      <xdr:spPr>
        <a:xfrm>
          <a:off x="3543300" y="19383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28</xdr:row>
      <xdr:rowOff>628650</xdr:rowOff>
    </xdr:from>
    <xdr:to>
      <xdr:col>3</xdr:col>
      <xdr:colOff>161925</xdr:colOff>
      <xdr:row>28</xdr:row>
      <xdr:rowOff>781050</xdr:rowOff>
    </xdr:to>
    <xdr:sp macro="" textlink="">
      <xdr:nvSpPr>
        <xdr:cNvPr id="27" name="TextBox 26">
          <a:hlinkClick xmlns:r="http://schemas.openxmlformats.org/officeDocument/2006/relationships" r:id="rId18"/>
          <a:extLst>
            <a:ext uri="{FF2B5EF4-FFF2-40B4-BE49-F238E27FC236}">
              <a16:creationId xmlns:a16="http://schemas.microsoft.com/office/drawing/2014/main" id="{00000000-0008-0000-0C00-00001B000000}"/>
            </a:ext>
          </a:extLst>
        </xdr:cNvPr>
        <xdr:cNvSpPr txBox="1"/>
      </xdr:nvSpPr>
      <xdr:spPr>
        <a:xfrm>
          <a:off x="3543300" y="20183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31</xdr:row>
      <xdr:rowOff>628650</xdr:rowOff>
    </xdr:from>
    <xdr:to>
      <xdr:col>3</xdr:col>
      <xdr:colOff>161925</xdr:colOff>
      <xdr:row>31</xdr:row>
      <xdr:rowOff>781050</xdr:rowOff>
    </xdr:to>
    <xdr:sp macro="" textlink="">
      <xdr:nvSpPr>
        <xdr:cNvPr id="28" name="TextBox 27">
          <a:hlinkClick xmlns:r="http://schemas.openxmlformats.org/officeDocument/2006/relationships" r:id="rId19"/>
          <a:extLst>
            <a:ext uri="{FF2B5EF4-FFF2-40B4-BE49-F238E27FC236}">
              <a16:creationId xmlns:a16="http://schemas.microsoft.com/office/drawing/2014/main" id="{00000000-0008-0000-0C00-00001C000000}"/>
            </a:ext>
          </a:extLst>
        </xdr:cNvPr>
        <xdr:cNvSpPr txBox="1"/>
      </xdr:nvSpPr>
      <xdr:spPr>
        <a:xfrm>
          <a:off x="3543300" y="22583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29" name="TextBox 28">
          <a:hlinkClick xmlns:r="http://schemas.openxmlformats.org/officeDocument/2006/relationships" r:id="rId20"/>
          <a:extLst>
            <a:ext uri="{FF2B5EF4-FFF2-40B4-BE49-F238E27FC236}">
              <a16:creationId xmlns:a16="http://schemas.microsoft.com/office/drawing/2014/main" id="{00000000-0008-0000-0C00-00001D000000}"/>
            </a:ext>
          </a:extLst>
        </xdr:cNvPr>
        <xdr:cNvSpPr txBox="1"/>
      </xdr:nvSpPr>
      <xdr:spPr>
        <a:xfrm>
          <a:off x="3543302" y="113823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29</xdr:row>
      <xdr:rowOff>628650</xdr:rowOff>
    </xdr:from>
    <xdr:to>
      <xdr:col>3</xdr:col>
      <xdr:colOff>161926</xdr:colOff>
      <xdr:row>29</xdr:row>
      <xdr:rowOff>781050</xdr:rowOff>
    </xdr:to>
    <xdr:sp macro="" textlink="">
      <xdr:nvSpPr>
        <xdr:cNvPr id="30" name="TextBox 29">
          <a:hlinkClick xmlns:r="http://schemas.openxmlformats.org/officeDocument/2006/relationships" r:id="rId21"/>
          <a:extLst>
            <a:ext uri="{FF2B5EF4-FFF2-40B4-BE49-F238E27FC236}">
              <a16:creationId xmlns:a16="http://schemas.microsoft.com/office/drawing/2014/main" id="{00000000-0008-0000-0C00-00001E000000}"/>
            </a:ext>
          </a:extLst>
        </xdr:cNvPr>
        <xdr:cNvSpPr txBox="1"/>
      </xdr:nvSpPr>
      <xdr:spPr>
        <a:xfrm>
          <a:off x="3543302" y="209835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1" name="TextBox 40">
          <a:hlinkClick xmlns:r="http://schemas.openxmlformats.org/officeDocument/2006/relationships" r:id="rId22"/>
          <a:extLst>
            <a:ext uri="{FF2B5EF4-FFF2-40B4-BE49-F238E27FC236}">
              <a16:creationId xmlns:a16="http://schemas.microsoft.com/office/drawing/2014/main" id="{00000000-0008-0000-0C00-000029000000}"/>
            </a:ext>
          </a:extLst>
        </xdr:cNvPr>
        <xdr:cNvSpPr txBox="1"/>
      </xdr:nvSpPr>
      <xdr:spPr>
        <a:xfrm>
          <a:off x="3543300" y="13782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7</xdr:row>
      <xdr:rowOff>628650</xdr:rowOff>
    </xdr:from>
    <xdr:to>
      <xdr:col>3</xdr:col>
      <xdr:colOff>161925</xdr:colOff>
      <xdr:row>7</xdr:row>
      <xdr:rowOff>781050</xdr:rowOff>
    </xdr:to>
    <xdr:sp macro="" textlink="">
      <xdr:nvSpPr>
        <xdr:cNvPr id="42" name="TextBox 41">
          <a:hlinkClick xmlns:r="http://schemas.openxmlformats.org/officeDocument/2006/relationships" r:id="rId23"/>
          <a:extLst>
            <a:ext uri="{FF2B5EF4-FFF2-40B4-BE49-F238E27FC236}">
              <a16:creationId xmlns:a16="http://schemas.microsoft.com/office/drawing/2014/main" id="{00000000-0008-0000-0C00-00002A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8</xdr:row>
      <xdr:rowOff>628650</xdr:rowOff>
    </xdr:from>
    <xdr:to>
      <xdr:col>3</xdr:col>
      <xdr:colOff>161925</xdr:colOff>
      <xdr:row>8</xdr:row>
      <xdr:rowOff>781050</xdr:rowOff>
    </xdr:to>
    <xdr:sp macro="" textlink="">
      <xdr:nvSpPr>
        <xdr:cNvPr id="43" name="TextBox 42">
          <a:hlinkClick xmlns:r="http://schemas.openxmlformats.org/officeDocument/2006/relationships" r:id="rId24"/>
          <a:extLst>
            <a:ext uri="{FF2B5EF4-FFF2-40B4-BE49-F238E27FC236}">
              <a16:creationId xmlns:a16="http://schemas.microsoft.com/office/drawing/2014/main" id="{00000000-0008-0000-0C00-00002B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44" name="TextBox 43">
          <a:hlinkClick xmlns:r="http://schemas.openxmlformats.org/officeDocument/2006/relationships" r:id="rId11"/>
          <a:extLst>
            <a:ext uri="{FF2B5EF4-FFF2-40B4-BE49-F238E27FC236}">
              <a16:creationId xmlns:a16="http://schemas.microsoft.com/office/drawing/2014/main" id="{00000000-0008-0000-0C00-00002C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45" name="TextBox 44">
          <a:hlinkClick xmlns:r="http://schemas.openxmlformats.org/officeDocument/2006/relationships" r:id="rId25"/>
          <a:extLst>
            <a:ext uri="{FF2B5EF4-FFF2-40B4-BE49-F238E27FC236}">
              <a16:creationId xmlns:a16="http://schemas.microsoft.com/office/drawing/2014/main" id="{00000000-0008-0000-0C00-00002D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46" name="TextBox 45">
          <a:hlinkClick xmlns:r="http://schemas.openxmlformats.org/officeDocument/2006/relationships" r:id="rId10"/>
          <a:extLst>
            <a:ext uri="{FF2B5EF4-FFF2-40B4-BE49-F238E27FC236}">
              <a16:creationId xmlns:a16="http://schemas.microsoft.com/office/drawing/2014/main" id="{00000000-0008-0000-0C00-00002E000000}"/>
            </a:ext>
          </a:extLst>
        </xdr:cNvPr>
        <xdr:cNvSpPr txBox="1"/>
      </xdr:nvSpPr>
      <xdr:spPr>
        <a:xfrm>
          <a:off x="3543302" y="41814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7" name="TextBox 46">
          <a:hlinkClick xmlns:r="http://schemas.openxmlformats.org/officeDocument/2006/relationships" r:id="rId26"/>
          <a:extLst>
            <a:ext uri="{FF2B5EF4-FFF2-40B4-BE49-F238E27FC236}">
              <a16:creationId xmlns:a16="http://schemas.microsoft.com/office/drawing/2014/main" id="{00000000-0008-0000-0C00-00002F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21</xdr:row>
      <xdr:rowOff>628650</xdr:rowOff>
    </xdr:from>
    <xdr:to>
      <xdr:col>3</xdr:col>
      <xdr:colOff>161925</xdr:colOff>
      <xdr:row>21</xdr:row>
      <xdr:rowOff>781050</xdr:rowOff>
    </xdr:to>
    <xdr:sp macro="" textlink="">
      <xdr:nvSpPr>
        <xdr:cNvPr id="48" name="TextBox 47">
          <a:hlinkClick xmlns:r="http://schemas.openxmlformats.org/officeDocument/2006/relationships" r:id="rId27"/>
          <a:extLst>
            <a:ext uri="{FF2B5EF4-FFF2-40B4-BE49-F238E27FC236}">
              <a16:creationId xmlns:a16="http://schemas.microsoft.com/office/drawing/2014/main" id="{00000000-0008-0000-0C00-000030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35</xdr:row>
      <xdr:rowOff>790575</xdr:rowOff>
    </xdr:from>
    <xdr:to>
      <xdr:col>3</xdr:col>
      <xdr:colOff>161926</xdr:colOff>
      <xdr:row>35</xdr:row>
      <xdr:rowOff>942975</xdr:rowOff>
    </xdr:to>
    <xdr:sp macro="" textlink="">
      <xdr:nvSpPr>
        <xdr:cNvPr id="49" name="TextBox 48">
          <a:hlinkClick xmlns:r="http://schemas.openxmlformats.org/officeDocument/2006/relationships" r:id="rId28"/>
          <a:extLst>
            <a:ext uri="{FF2B5EF4-FFF2-40B4-BE49-F238E27FC236}">
              <a16:creationId xmlns:a16="http://schemas.microsoft.com/office/drawing/2014/main" id="{00000000-0008-0000-0C00-000031000000}"/>
            </a:ext>
          </a:extLst>
        </xdr:cNvPr>
        <xdr:cNvSpPr txBox="1"/>
      </xdr:nvSpPr>
      <xdr:spPr>
        <a:xfrm>
          <a:off x="3543302" y="61055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37</xdr:row>
      <xdr:rowOff>790577</xdr:rowOff>
    </xdr:from>
    <xdr:to>
      <xdr:col>3</xdr:col>
      <xdr:colOff>161925</xdr:colOff>
      <xdr:row>37</xdr:row>
      <xdr:rowOff>942975</xdr:rowOff>
    </xdr:to>
    <xdr:sp macro="" textlink="">
      <xdr:nvSpPr>
        <xdr:cNvPr id="50" name="TextBox 49">
          <a:hlinkClick xmlns:r="http://schemas.openxmlformats.org/officeDocument/2006/relationships" r:id="rId29"/>
          <a:extLst>
            <a:ext uri="{FF2B5EF4-FFF2-40B4-BE49-F238E27FC236}">
              <a16:creationId xmlns:a16="http://schemas.microsoft.com/office/drawing/2014/main" id="{00000000-0008-0000-0C00-000032000000}"/>
            </a:ext>
          </a:extLst>
        </xdr:cNvPr>
        <xdr:cNvSpPr txBox="1"/>
      </xdr:nvSpPr>
      <xdr:spPr>
        <a:xfrm>
          <a:off x="3533775" y="8029577"/>
          <a:ext cx="152400" cy="15239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34</xdr:row>
      <xdr:rowOff>790575</xdr:rowOff>
    </xdr:from>
    <xdr:to>
      <xdr:col>3</xdr:col>
      <xdr:colOff>152401</xdr:colOff>
      <xdr:row>34</xdr:row>
      <xdr:rowOff>942975</xdr:rowOff>
    </xdr:to>
    <xdr:sp macro="" textlink="">
      <xdr:nvSpPr>
        <xdr:cNvPr id="51" name="TextBox 50">
          <a:hlinkClick xmlns:r="http://schemas.openxmlformats.org/officeDocument/2006/relationships" r:id="rId30"/>
          <a:extLst>
            <a:ext uri="{FF2B5EF4-FFF2-40B4-BE49-F238E27FC236}">
              <a16:creationId xmlns:a16="http://schemas.microsoft.com/office/drawing/2014/main" id="{00000000-0008-0000-0C00-000033000000}"/>
            </a:ext>
          </a:extLst>
        </xdr:cNvPr>
        <xdr:cNvSpPr txBox="1"/>
      </xdr:nvSpPr>
      <xdr:spPr>
        <a:xfrm>
          <a:off x="3533777" y="51435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36</xdr:row>
      <xdr:rowOff>790575</xdr:rowOff>
    </xdr:from>
    <xdr:to>
      <xdr:col>3</xdr:col>
      <xdr:colOff>161926</xdr:colOff>
      <xdr:row>36</xdr:row>
      <xdr:rowOff>942975</xdr:rowOff>
    </xdr:to>
    <xdr:sp macro="" textlink="">
      <xdr:nvSpPr>
        <xdr:cNvPr id="52" name="TextBox 51">
          <a:hlinkClick xmlns:r="http://schemas.openxmlformats.org/officeDocument/2006/relationships" r:id="rId31"/>
          <a:extLst>
            <a:ext uri="{FF2B5EF4-FFF2-40B4-BE49-F238E27FC236}">
              <a16:creationId xmlns:a16="http://schemas.microsoft.com/office/drawing/2014/main" id="{00000000-0008-0000-0C00-000034000000}"/>
            </a:ext>
          </a:extLst>
        </xdr:cNvPr>
        <xdr:cNvSpPr txBox="1"/>
      </xdr:nvSpPr>
      <xdr:spPr>
        <a:xfrm>
          <a:off x="3543302" y="70675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39</xdr:row>
      <xdr:rowOff>790575</xdr:rowOff>
    </xdr:from>
    <xdr:to>
      <xdr:col>3</xdr:col>
      <xdr:colOff>152401</xdr:colOff>
      <xdr:row>39</xdr:row>
      <xdr:rowOff>942975</xdr:rowOff>
    </xdr:to>
    <xdr:sp macro="" textlink="">
      <xdr:nvSpPr>
        <xdr:cNvPr id="53" name="TextBox 52">
          <a:hlinkClick xmlns:r="http://schemas.openxmlformats.org/officeDocument/2006/relationships" r:id="rId32"/>
          <a:extLst>
            <a:ext uri="{FF2B5EF4-FFF2-40B4-BE49-F238E27FC236}">
              <a16:creationId xmlns:a16="http://schemas.microsoft.com/office/drawing/2014/main" id="{00000000-0008-0000-0C00-000035000000}"/>
            </a:ext>
          </a:extLst>
        </xdr:cNvPr>
        <xdr:cNvSpPr txBox="1"/>
      </xdr:nvSpPr>
      <xdr:spPr>
        <a:xfrm>
          <a:off x="3533777" y="99536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40</xdr:row>
      <xdr:rowOff>790575</xdr:rowOff>
    </xdr:from>
    <xdr:to>
      <xdr:col>3</xdr:col>
      <xdr:colOff>161926</xdr:colOff>
      <xdr:row>40</xdr:row>
      <xdr:rowOff>942975</xdr:rowOff>
    </xdr:to>
    <xdr:sp macro="" textlink="">
      <xdr:nvSpPr>
        <xdr:cNvPr id="54" name="TextBox 53">
          <a:hlinkClick xmlns:r="http://schemas.openxmlformats.org/officeDocument/2006/relationships" r:id="rId33"/>
          <a:extLst>
            <a:ext uri="{FF2B5EF4-FFF2-40B4-BE49-F238E27FC236}">
              <a16:creationId xmlns:a16="http://schemas.microsoft.com/office/drawing/2014/main" id="{00000000-0008-0000-0C00-000036000000}"/>
            </a:ext>
          </a:extLst>
        </xdr:cNvPr>
        <xdr:cNvSpPr txBox="1"/>
      </xdr:nvSpPr>
      <xdr:spPr>
        <a:xfrm>
          <a:off x="3543302" y="109156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41</xdr:row>
      <xdr:rowOff>790575</xdr:rowOff>
    </xdr:from>
    <xdr:to>
      <xdr:col>3</xdr:col>
      <xdr:colOff>152401</xdr:colOff>
      <xdr:row>41</xdr:row>
      <xdr:rowOff>942975</xdr:rowOff>
    </xdr:to>
    <xdr:sp macro="" textlink="">
      <xdr:nvSpPr>
        <xdr:cNvPr id="55" name="TextBox 54">
          <a:hlinkClick xmlns:r="http://schemas.openxmlformats.org/officeDocument/2006/relationships" r:id="rId34"/>
          <a:extLst>
            <a:ext uri="{FF2B5EF4-FFF2-40B4-BE49-F238E27FC236}">
              <a16:creationId xmlns:a16="http://schemas.microsoft.com/office/drawing/2014/main" id="{00000000-0008-0000-0C00-000037000000}"/>
            </a:ext>
          </a:extLst>
        </xdr:cNvPr>
        <xdr:cNvSpPr txBox="1"/>
      </xdr:nvSpPr>
      <xdr:spPr>
        <a:xfrm>
          <a:off x="3533777" y="118776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42</xdr:row>
      <xdr:rowOff>790575</xdr:rowOff>
    </xdr:from>
    <xdr:to>
      <xdr:col>3</xdr:col>
      <xdr:colOff>161926</xdr:colOff>
      <xdr:row>42</xdr:row>
      <xdr:rowOff>942975</xdr:rowOff>
    </xdr:to>
    <xdr:sp macro="" textlink="">
      <xdr:nvSpPr>
        <xdr:cNvPr id="56" name="TextBox 55">
          <a:hlinkClick xmlns:r="http://schemas.openxmlformats.org/officeDocument/2006/relationships" r:id="rId35"/>
          <a:extLst>
            <a:ext uri="{FF2B5EF4-FFF2-40B4-BE49-F238E27FC236}">
              <a16:creationId xmlns:a16="http://schemas.microsoft.com/office/drawing/2014/main" id="{00000000-0008-0000-0C00-000038000000}"/>
            </a:ext>
          </a:extLst>
        </xdr:cNvPr>
        <xdr:cNvSpPr txBox="1"/>
      </xdr:nvSpPr>
      <xdr:spPr>
        <a:xfrm>
          <a:off x="3543302" y="128397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44</xdr:row>
      <xdr:rowOff>790575</xdr:rowOff>
    </xdr:from>
    <xdr:to>
      <xdr:col>3</xdr:col>
      <xdr:colOff>152401</xdr:colOff>
      <xdr:row>44</xdr:row>
      <xdr:rowOff>942975</xdr:rowOff>
    </xdr:to>
    <xdr:sp macro="" textlink="">
      <xdr:nvSpPr>
        <xdr:cNvPr id="57" name="TextBox 56">
          <a:hlinkClick xmlns:r="http://schemas.openxmlformats.org/officeDocument/2006/relationships" r:id="rId36"/>
          <a:extLst>
            <a:ext uri="{FF2B5EF4-FFF2-40B4-BE49-F238E27FC236}">
              <a16:creationId xmlns:a16="http://schemas.microsoft.com/office/drawing/2014/main" id="{00000000-0008-0000-0C00-000039000000}"/>
            </a:ext>
          </a:extLst>
        </xdr:cNvPr>
        <xdr:cNvSpPr txBox="1"/>
      </xdr:nvSpPr>
      <xdr:spPr>
        <a:xfrm>
          <a:off x="3533777" y="147637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43</xdr:row>
      <xdr:rowOff>790575</xdr:rowOff>
    </xdr:from>
    <xdr:to>
      <xdr:col>3</xdr:col>
      <xdr:colOff>152401</xdr:colOff>
      <xdr:row>43</xdr:row>
      <xdr:rowOff>942975</xdr:rowOff>
    </xdr:to>
    <xdr:sp macro="" textlink="">
      <xdr:nvSpPr>
        <xdr:cNvPr id="58" name="TextBox 57">
          <a:hlinkClick xmlns:r="http://schemas.openxmlformats.org/officeDocument/2006/relationships" r:id="rId37"/>
          <a:extLst>
            <a:ext uri="{FF2B5EF4-FFF2-40B4-BE49-F238E27FC236}">
              <a16:creationId xmlns:a16="http://schemas.microsoft.com/office/drawing/2014/main" id="{00000000-0008-0000-0C00-00003A000000}"/>
            </a:ext>
          </a:extLst>
        </xdr:cNvPr>
        <xdr:cNvSpPr txBox="1"/>
      </xdr:nvSpPr>
      <xdr:spPr>
        <a:xfrm>
          <a:off x="3533777" y="138017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45</xdr:row>
      <xdr:rowOff>790575</xdr:rowOff>
    </xdr:from>
    <xdr:to>
      <xdr:col>3</xdr:col>
      <xdr:colOff>152401</xdr:colOff>
      <xdr:row>45</xdr:row>
      <xdr:rowOff>942975</xdr:rowOff>
    </xdr:to>
    <xdr:sp macro="" textlink="">
      <xdr:nvSpPr>
        <xdr:cNvPr id="59" name="TextBox 58">
          <a:hlinkClick xmlns:r="http://schemas.openxmlformats.org/officeDocument/2006/relationships" r:id="rId38"/>
          <a:extLst>
            <a:ext uri="{FF2B5EF4-FFF2-40B4-BE49-F238E27FC236}">
              <a16:creationId xmlns:a16="http://schemas.microsoft.com/office/drawing/2014/main" id="{00000000-0008-0000-0C00-00003B000000}"/>
            </a:ext>
          </a:extLst>
        </xdr:cNvPr>
        <xdr:cNvSpPr txBox="1"/>
      </xdr:nvSpPr>
      <xdr:spPr>
        <a:xfrm>
          <a:off x="3533777" y="157257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46</xdr:row>
      <xdr:rowOff>790575</xdr:rowOff>
    </xdr:from>
    <xdr:to>
      <xdr:col>3</xdr:col>
      <xdr:colOff>152399</xdr:colOff>
      <xdr:row>46</xdr:row>
      <xdr:rowOff>942975</xdr:rowOff>
    </xdr:to>
    <xdr:sp macro="" textlink="">
      <xdr:nvSpPr>
        <xdr:cNvPr id="60" name="TextBox 59">
          <a:hlinkClick xmlns:r="http://schemas.openxmlformats.org/officeDocument/2006/relationships" r:id="rId39"/>
          <a:extLst>
            <a:ext uri="{FF2B5EF4-FFF2-40B4-BE49-F238E27FC236}">
              <a16:creationId xmlns:a16="http://schemas.microsoft.com/office/drawing/2014/main" id="{00000000-0008-0000-0C00-00003C000000}"/>
            </a:ext>
          </a:extLst>
        </xdr:cNvPr>
        <xdr:cNvSpPr txBox="1"/>
      </xdr:nvSpPr>
      <xdr:spPr>
        <a:xfrm>
          <a:off x="3533775" y="254889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200025</xdr:colOff>
          <xdr:row>1</xdr:row>
          <xdr:rowOff>95250</xdr:rowOff>
        </xdr:from>
        <xdr:to>
          <xdr:col>2</xdr:col>
          <xdr:colOff>828675</xdr:colOff>
          <xdr:row>1</xdr:row>
          <xdr:rowOff>666750</xdr:rowOff>
        </xdr:to>
        <xdr:sp macro="" textlink="">
          <xdr:nvSpPr>
            <xdr:cNvPr id="38913" name="CommandButton1" hidden="1">
              <a:extLst>
                <a:ext uri="{63B3BB69-23CF-44E3-9099-C40C66FF867C}">
                  <a14:compatExt spid="_x0000_s38913"/>
                </a:ext>
                <a:ext uri="{FF2B5EF4-FFF2-40B4-BE49-F238E27FC236}">
                  <a16:creationId xmlns:a16="http://schemas.microsoft.com/office/drawing/2014/main" id="{00000000-0008-0000-0D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xdr:row>
          <xdr:rowOff>85725</xdr:rowOff>
        </xdr:from>
        <xdr:to>
          <xdr:col>2</xdr:col>
          <xdr:colOff>809625</xdr:colOff>
          <xdr:row>2</xdr:row>
          <xdr:rowOff>647700</xdr:rowOff>
        </xdr:to>
        <xdr:sp macro="" textlink="">
          <xdr:nvSpPr>
            <xdr:cNvPr id="38914" name="CommandButton2" hidden="1">
              <a:extLst>
                <a:ext uri="{63B3BB69-23CF-44E3-9099-C40C66FF867C}">
                  <a14:compatExt spid="_x0000_s38914"/>
                </a:ext>
                <a:ext uri="{FF2B5EF4-FFF2-40B4-BE49-F238E27FC236}">
                  <a16:creationId xmlns:a16="http://schemas.microsoft.com/office/drawing/2014/main" id="{00000000-0008-0000-0D00-000002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14</xdr:row>
          <xdr:rowOff>133350</xdr:rowOff>
        </xdr:from>
        <xdr:to>
          <xdr:col>2</xdr:col>
          <xdr:colOff>800100</xdr:colOff>
          <xdr:row>14</xdr:row>
          <xdr:rowOff>695325</xdr:rowOff>
        </xdr:to>
        <xdr:sp macro="" textlink="">
          <xdr:nvSpPr>
            <xdr:cNvPr id="38915" name="CommandButton3" hidden="1">
              <a:extLst>
                <a:ext uri="{63B3BB69-23CF-44E3-9099-C40C66FF867C}">
                  <a14:compatExt spid="_x0000_s38915"/>
                </a:ext>
                <a:ext uri="{FF2B5EF4-FFF2-40B4-BE49-F238E27FC236}">
                  <a16:creationId xmlns:a16="http://schemas.microsoft.com/office/drawing/2014/main" id="{00000000-0008-0000-0D00-000003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15</xdr:row>
          <xdr:rowOff>114300</xdr:rowOff>
        </xdr:from>
        <xdr:to>
          <xdr:col>2</xdr:col>
          <xdr:colOff>809625</xdr:colOff>
          <xdr:row>15</xdr:row>
          <xdr:rowOff>666750</xdr:rowOff>
        </xdr:to>
        <xdr:sp macro="" textlink="">
          <xdr:nvSpPr>
            <xdr:cNvPr id="38916" name="CommandButton4" hidden="1">
              <a:extLst>
                <a:ext uri="{63B3BB69-23CF-44E3-9099-C40C66FF867C}">
                  <a14:compatExt spid="_x0000_s38916"/>
                </a:ext>
                <a:ext uri="{FF2B5EF4-FFF2-40B4-BE49-F238E27FC236}">
                  <a16:creationId xmlns:a16="http://schemas.microsoft.com/office/drawing/2014/main" id="{00000000-0008-0000-0D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503997</xdr:colOff>
      <xdr:row>0</xdr:row>
      <xdr:rowOff>55907</xdr:rowOff>
    </xdr:from>
    <xdr:to>
      <xdr:col>9</xdr:col>
      <xdr:colOff>679367</xdr:colOff>
      <xdr:row>0</xdr:row>
      <xdr:rowOff>302287</xdr:rowOff>
    </xdr:to>
    <xdr:pic>
      <xdr:nvPicPr>
        <xdr:cNvPr id="10" name="Picture 9">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10543347" y="55907"/>
          <a:ext cx="1718420" cy="246380"/>
        </a:xfrm>
        <a:prstGeom prst="rect">
          <a:avLst/>
        </a:prstGeom>
      </xdr:spPr>
    </xdr:pic>
    <xdr:clientData/>
  </xdr:twoCellAnchor>
  <xdr:twoCellAnchor>
    <xdr:from>
      <xdr:col>3</xdr:col>
      <xdr:colOff>19050</xdr:colOff>
      <xdr:row>3</xdr:row>
      <xdr:rowOff>628650</xdr:rowOff>
    </xdr:from>
    <xdr:to>
      <xdr:col>3</xdr:col>
      <xdr:colOff>161925</xdr:colOff>
      <xdr:row>3</xdr:row>
      <xdr:rowOff>781050</xdr:rowOff>
    </xdr:to>
    <xdr:sp macro="" textlink="">
      <xdr:nvSpPr>
        <xdr:cNvPr id="11" name="TextBox 10">
          <a:hlinkClick xmlns:r="http://schemas.openxmlformats.org/officeDocument/2006/relationships" r:id="rId2"/>
          <a:extLst>
            <a:ext uri="{FF2B5EF4-FFF2-40B4-BE49-F238E27FC236}">
              <a16:creationId xmlns:a16="http://schemas.microsoft.com/office/drawing/2014/main" id="{00000000-0008-0000-0D00-00000B000000}"/>
            </a:ext>
          </a:extLst>
        </xdr:cNvPr>
        <xdr:cNvSpPr txBox="1"/>
      </xdr:nvSpPr>
      <xdr:spPr>
        <a:xfrm>
          <a:off x="3543300" y="2581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4</xdr:row>
      <xdr:rowOff>628650</xdr:rowOff>
    </xdr:from>
    <xdr:to>
      <xdr:col>3</xdr:col>
      <xdr:colOff>161925</xdr:colOff>
      <xdr:row>4</xdr:row>
      <xdr:rowOff>781050</xdr:rowOff>
    </xdr:to>
    <xdr:sp macro="" textlink="">
      <xdr:nvSpPr>
        <xdr:cNvPr id="12" name="TextBox 11">
          <a:hlinkClick xmlns:r="http://schemas.openxmlformats.org/officeDocument/2006/relationships" r:id="rId3"/>
          <a:extLst>
            <a:ext uri="{FF2B5EF4-FFF2-40B4-BE49-F238E27FC236}">
              <a16:creationId xmlns:a16="http://schemas.microsoft.com/office/drawing/2014/main" id="{00000000-0008-0000-0D00-00000C000000}"/>
            </a:ext>
          </a:extLst>
        </xdr:cNvPr>
        <xdr:cNvSpPr txBox="1"/>
      </xdr:nvSpPr>
      <xdr:spPr>
        <a:xfrm>
          <a:off x="3543300" y="3381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5</xdr:row>
      <xdr:rowOff>628650</xdr:rowOff>
    </xdr:from>
    <xdr:to>
      <xdr:col>3</xdr:col>
      <xdr:colOff>161925</xdr:colOff>
      <xdr:row>5</xdr:row>
      <xdr:rowOff>781050</xdr:rowOff>
    </xdr:to>
    <xdr:sp macro="" textlink="">
      <xdr:nvSpPr>
        <xdr:cNvPr id="13" name="TextBox 12">
          <a:hlinkClick xmlns:r="http://schemas.openxmlformats.org/officeDocument/2006/relationships" r:id="rId4"/>
          <a:extLst>
            <a:ext uri="{FF2B5EF4-FFF2-40B4-BE49-F238E27FC236}">
              <a16:creationId xmlns:a16="http://schemas.microsoft.com/office/drawing/2014/main" id="{00000000-0008-0000-0D00-00000D000000}"/>
            </a:ext>
          </a:extLst>
        </xdr:cNvPr>
        <xdr:cNvSpPr txBox="1"/>
      </xdr:nvSpPr>
      <xdr:spPr>
        <a:xfrm>
          <a:off x="3543300" y="4181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6</xdr:row>
      <xdr:rowOff>628650</xdr:rowOff>
    </xdr:from>
    <xdr:to>
      <xdr:col>3</xdr:col>
      <xdr:colOff>161925</xdr:colOff>
      <xdr:row>6</xdr:row>
      <xdr:rowOff>781050</xdr:rowOff>
    </xdr:to>
    <xdr:sp macro="" textlink="">
      <xdr:nvSpPr>
        <xdr:cNvPr id="14" name="TextBox 13">
          <a:hlinkClick xmlns:r="http://schemas.openxmlformats.org/officeDocument/2006/relationships" r:id="rId5"/>
          <a:extLst>
            <a:ext uri="{FF2B5EF4-FFF2-40B4-BE49-F238E27FC236}">
              <a16:creationId xmlns:a16="http://schemas.microsoft.com/office/drawing/2014/main" id="{00000000-0008-0000-0D00-00000E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9</xdr:row>
      <xdr:rowOff>628650</xdr:rowOff>
    </xdr:from>
    <xdr:to>
      <xdr:col>3</xdr:col>
      <xdr:colOff>161925</xdr:colOff>
      <xdr:row>9</xdr:row>
      <xdr:rowOff>781050</xdr:rowOff>
    </xdr:to>
    <xdr:sp macro="" textlink="">
      <xdr:nvSpPr>
        <xdr:cNvPr id="15" name="TextBox 14">
          <a:hlinkClick xmlns:r="http://schemas.openxmlformats.org/officeDocument/2006/relationships" r:id="rId6"/>
          <a:extLst>
            <a:ext uri="{FF2B5EF4-FFF2-40B4-BE49-F238E27FC236}">
              <a16:creationId xmlns:a16="http://schemas.microsoft.com/office/drawing/2014/main" id="{00000000-0008-0000-0D00-00000F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10</xdr:row>
      <xdr:rowOff>628650</xdr:rowOff>
    </xdr:from>
    <xdr:to>
      <xdr:col>3</xdr:col>
      <xdr:colOff>161925</xdr:colOff>
      <xdr:row>10</xdr:row>
      <xdr:rowOff>781050</xdr:rowOff>
    </xdr:to>
    <xdr:sp macro="" textlink="">
      <xdr:nvSpPr>
        <xdr:cNvPr id="16" name="TextBox 15">
          <a:hlinkClick xmlns:r="http://schemas.openxmlformats.org/officeDocument/2006/relationships" r:id="rId7"/>
          <a:extLst>
            <a:ext uri="{FF2B5EF4-FFF2-40B4-BE49-F238E27FC236}">
              <a16:creationId xmlns:a16="http://schemas.microsoft.com/office/drawing/2014/main" id="{00000000-0008-0000-0D00-000010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11</xdr:row>
      <xdr:rowOff>628650</xdr:rowOff>
    </xdr:from>
    <xdr:to>
      <xdr:col>3</xdr:col>
      <xdr:colOff>161925</xdr:colOff>
      <xdr:row>11</xdr:row>
      <xdr:rowOff>781050</xdr:rowOff>
    </xdr:to>
    <xdr:sp macro="" textlink="">
      <xdr:nvSpPr>
        <xdr:cNvPr id="17" name="TextBox 16">
          <a:hlinkClick xmlns:r="http://schemas.openxmlformats.org/officeDocument/2006/relationships" r:id="rId8"/>
          <a:extLst>
            <a:ext uri="{FF2B5EF4-FFF2-40B4-BE49-F238E27FC236}">
              <a16:creationId xmlns:a16="http://schemas.microsoft.com/office/drawing/2014/main" id="{00000000-0008-0000-0D00-000011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12</xdr:row>
      <xdr:rowOff>628650</xdr:rowOff>
    </xdr:from>
    <xdr:to>
      <xdr:col>3</xdr:col>
      <xdr:colOff>161925</xdr:colOff>
      <xdr:row>12</xdr:row>
      <xdr:rowOff>781050</xdr:rowOff>
    </xdr:to>
    <xdr:sp macro="" textlink="">
      <xdr:nvSpPr>
        <xdr:cNvPr id="18" name="TextBox 17">
          <a:hlinkClick xmlns:r="http://schemas.openxmlformats.org/officeDocument/2006/relationships" r:id="rId9"/>
          <a:extLst>
            <a:ext uri="{FF2B5EF4-FFF2-40B4-BE49-F238E27FC236}">
              <a16:creationId xmlns:a16="http://schemas.microsoft.com/office/drawing/2014/main" id="{00000000-0008-0000-0D00-000012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19" name="TextBox 18">
          <a:hlinkClick xmlns:r="http://schemas.openxmlformats.org/officeDocument/2006/relationships" r:id="rId10"/>
          <a:extLst>
            <a:ext uri="{FF2B5EF4-FFF2-40B4-BE49-F238E27FC236}">
              <a16:creationId xmlns:a16="http://schemas.microsoft.com/office/drawing/2014/main" id="{00000000-0008-0000-0D00-000013000000}"/>
            </a:ext>
          </a:extLst>
        </xdr:cNvPr>
        <xdr:cNvSpPr txBox="1"/>
      </xdr:nvSpPr>
      <xdr:spPr>
        <a:xfrm>
          <a:off x="3543300" y="12982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20" name="TextBox 19">
          <a:hlinkClick xmlns:r="http://schemas.openxmlformats.org/officeDocument/2006/relationships" r:id="rId11"/>
          <a:extLst>
            <a:ext uri="{FF2B5EF4-FFF2-40B4-BE49-F238E27FC236}">
              <a16:creationId xmlns:a16="http://schemas.microsoft.com/office/drawing/2014/main" id="{00000000-0008-0000-0D00-000014000000}"/>
            </a:ext>
          </a:extLst>
        </xdr:cNvPr>
        <xdr:cNvSpPr txBox="1"/>
      </xdr:nvSpPr>
      <xdr:spPr>
        <a:xfrm>
          <a:off x="3543300" y="14582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22</xdr:row>
      <xdr:rowOff>628650</xdr:rowOff>
    </xdr:from>
    <xdr:to>
      <xdr:col>3</xdr:col>
      <xdr:colOff>161925</xdr:colOff>
      <xdr:row>22</xdr:row>
      <xdr:rowOff>781050</xdr:rowOff>
    </xdr:to>
    <xdr:sp macro="" textlink="">
      <xdr:nvSpPr>
        <xdr:cNvPr id="21" name="TextBox 20">
          <a:hlinkClick xmlns:r="http://schemas.openxmlformats.org/officeDocument/2006/relationships" r:id="rId12"/>
          <a:extLst>
            <a:ext uri="{FF2B5EF4-FFF2-40B4-BE49-F238E27FC236}">
              <a16:creationId xmlns:a16="http://schemas.microsoft.com/office/drawing/2014/main" id="{00000000-0008-0000-0D00-000015000000}"/>
            </a:ext>
          </a:extLst>
        </xdr:cNvPr>
        <xdr:cNvSpPr txBox="1"/>
      </xdr:nvSpPr>
      <xdr:spPr>
        <a:xfrm>
          <a:off x="3543300" y="15382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23</xdr:row>
      <xdr:rowOff>628650</xdr:rowOff>
    </xdr:from>
    <xdr:to>
      <xdr:col>3</xdr:col>
      <xdr:colOff>161925</xdr:colOff>
      <xdr:row>23</xdr:row>
      <xdr:rowOff>781050</xdr:rowOff>
    </xdr:to>
    <xdr:sp macro="" textlink="">
      <xdr:nvSpPr>
        <xdr:cNvPr id="22" name="TextBox 21">
          <a:hlinkClick xmlns:r="http://schemas.openxmlformats.org/officeDocument/2006/relationships" r:id="rId13"/>
          <a:extLst>
            <a:ext uri="{FF2B5EF4-FFF2-40B4-BE49-F238E27FC236}">
              <a16:creationId xmlns:a16="http://schemas.microsoft.com/office/drawing/2014/main" id="{00000000-0008-0000-0D00-000016000000}"/>
            </a:ext>
          </a:extLst>
        </xdr:cNvPr>
        <xdr:cNvSpPr txBox="1"/>
      </xdr:nvSpPr>
      <xdr:spPr>
        <a:xfrm>
          <a:off x="3543300" y="16182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24</xdr:row>
      <xdr:rowOff>628650</xdr:rowOff>
    </xdr:from>
    <xdr:to>
      <xdr:col>3</xdr:col>
      <xdr:colOff>161925</xdr:colOff>
      <xdr:row>24</xdr:row>
      <xdr:rowOff>781050</xdr:rowOff>
    </xdr:to>
    <xdr:sp macro="" textlink="">
      <xdr:nvSpPr>
        <xdr:cNvPr id="23" name="TextBox 22">
          <a:hlinkClick xmlns:r="http://schemas.openxmlformats.org/officeDocument/2006/relationships" r:id="rId14"/>
          <a:extLst>
            <a:ext uri="{FF2B5EF4-FFF2-40B4-BE49-F238E27FC236}">
              <a16:creationId xmlns:a16="http://schemas.microsoft.com/office/drawing/2014/main" id="{00000000-0008-0000-0D00-000017000000}"/>
            </a:ext>
          </a:extLst>
        </xdr:cNvPr>
        <xdr:cNvSpPr txBox="1"/>
      </xdr:nvSpPr>
      <xdr:spPr>
        <a:xfrm>
          <a:off x="3543300" y="169830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25</xdr:row>
      <xdr:rowOff>628650</xdr:rowOff>
    </xdr:from>
    <xdr:to>
      <xdr:col>3</xdr:col>
      <xdr:colOff>161925</xdr:colOff>
      <xdr:row>25</xdr:row>
      <xdr:rowOff>781050</xdr:rowOff>
    </xdr:to>
    <xdr:sp macro="" textlink="">
      <xdr:nvSpPr>
        <xdr:cNvPr id="24" name="TextBox 23">
          <a:hlinkClick xmlns:r="http://schemas.openxmlformats.org/officeDocument/2006/relationships" r:id="rId15"/>
          <a:extLst>
            <a:ext uri="{FF2B5EF4-FFF2-40B4-BE49-F238E27FC236}">
              <a16:creationId xmlns:a16="http://schemas.microsoft.com/office/drawing/2014/main" id="{00000000-0008-0000-0D00-000018000000}"/>
            </a:ext>
          </a:extLst>
        </xdr:cNvPr>
        <xdr:cNvSpPr txBox="1"/>
      </xdr:nvSpPr>
      <xdr:spPr>
        <a:xfrm>
          <a:off x="3543300" y="177831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26</xdr:row>
      <xdr:rowOff>628650</xdr:rowOff>
    </xdr:from>
    <xdr:to>
      <xdr:col>3</xdr:col>
      <xdr:colOff>161925</xdr:colOff>
      <xdr:row>26</xdr:row>
      <xdr:rowOff>781050</xdr:rowOff>
    </xdr:to>
    <xdr:sp macro="" textlink="">
      <xdr:nvSpPr>
        <xdr:cNvPr id="25" name="TextBox 24">
          <a:hlinkClick xmlns:r="http://schemas.openxmlformats.org/officeDocument/2006/relationships" r:id="rId16"/>
          <a:extLst>
            <a:ext uri="{FF2B5EF4-FFF2-40B4-BE49-F238E27FC236}">
              <a16:creationId xmlns:a16="http://schemas.microsoft.com/office/drawing/2014/main" id="{00000000-0008-0000-0D00-000019000000}"/>
            </a:ext>
          </a:extLst>
        </xdr:cNvPr>
        <xdr:cNvSpPr txBox="1"/>
      </xdr:nvSpPr>
      <xdr:spPr>
        <a:xfrm>
          <a:off x="3543300" y="185832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27</xdr:row>
      <xdr:rowOff>628650</xdr:rowOff>
    </xdr:from>
    <xdr:to>
      <xdr:col>3</xdr:col>
      <xdr:colOff>161925</xdr:colOff>
      <xdr:row>27</xdr:row>
      <xdr:rowOff>781050</xdr:rowOff>
    </xdr:to>
    <xdr:sp macro="" textlink="">
      <xdr:nvSpPr>
        <xdr:cNvPr id="26" name="TextBox 25">
          <a:hlinkClick xmlns:r="http://schemas.openxmlformats.org/officeDocument/2006/relationships" r:id="rId17"/>
          <a:extLst>
            <a:ext uri="{FF2B5EF4-FFF2-40B4-BE49-F238E27FC236}">
              <a16:creationId xmlns:a16="http://schemas.microsoft.com/office/drawing/2014/main" id="{00000000-0008-0000-0D00-00001A000000}"/>
            </a:ext>
          </a:extLst>
        </xdr:cNvPr>
        <xdr:cNvSpPr txBox="1"/>
      </xdr:nvSpPr>
      <xdr:spPr>
        <a:xfrm>
          <a:off x="3543300" y="193833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28</xdr:row>
      <xdr:rowOff>628650</xdr:rowOff>
    </xdr:from>
    <xdr:to>
      <xdr:col>3</xdr:col>
      <xdr:colOff>161925</xdr:colOff>
      <xdr:row>28</xdr:row>
      <xdr:rowOff>781050</xdr:rowOff>
    </xdr:to>
    <xdr:sp macro="" textlink="">
      <xdr:nvSpPr>
        <xdr:cNvPr id="27" name="TextBox 26">
          <a:hlinkClick xmlns:r="http://schemas.openxmlformats.org/officeDocument/2006/relationships" r:id="rId18"/>
          <a:extLst>
            <a:ext uri="{FF2B5EF4-FFF2-40B4-BE49-F238E27FC236}">
              <a16:creationId xmlns:a16="http://schemas.microsoft.com/office/drawing/2014/main" id="{00000000-0008-0000-0D00-00001B000000}"/>
            </a:ext>
          </a:extLst>
        </xdr:cNvPr>
        <xdr:cNvSpPr txBox="1"/>
      </xdr:nvSpPr>
      <xdr:spPr>
        <a:xfrm>
          <a:off x="3543300" y="201834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31</xdr:row>
      <xdr:rowOff>628650</xdr:rowOff>
    </xdr:from>
    <xdr:to>
      <xdr:col>3</xdr:col>
      <xdr:colOff>161925</xdr:colOff>
      <xdr:row>31</xdr:row>
      <xdr:rowOff>781050</xdr:rowOff>
    </xdr:to>
    <xdr:sp macro="" textlink="">
      <xdr:nvSpPr>
        <xdr:cNvPr id="28" name="TextBox 27">
          <a:hlinkClick xmlns:r="http://schemas.openxmlformats.org/officeDocument/2006/relationships" r:id="rId19"/>
          <a:extLst>
            <a:ext uri="{FF2B5EF4-FFF2-40B4-BE49-F238E27FC236}">
              <a16:creationId xmlns:a16="http://schemas.microsoft.com/office/drawing/2014/main" id="{00000000-0008-0000-0D00-00001C000000}"/>
            </a:ext>
          </a:extLst>
        </xdr:cNvPr>
        <xdr:cNvSpPr txBox="1"/>
      </xdr:nvSpPr>
      <xdr:spPr>
        <a:xfrm>
          <a:off x="3543300" y="22583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29" name="TextBox 28">
          <a:hlinkClick xmlns:r="http://schemas.openxmlformats.org/officeDocument/2006/relationships" r:id="rId20"/>
          <a:extLst>
            <a:ext uri="{FF2B5EF4-FFF2-40B4-BE49-F238E27FC236}">
              <a16:creationId xmlns:a16="http://schemas.microsoft.com/office/drawing/2014/main" id="{00000000-0008-0000-0D00-00001D000000}"/>
            </a:ext>
          </a:extLst>
        </xdr:cNvPr>
        <xdr:cNvSpPr txBox="1"/>
      </xdr:nvSpPr>
      <xdr:spPr>
        <a:xfrm>
          <a:off x="3543302" y="113823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29</xdr:row>
      <xdr:rowOff>628650</xdr:rowOff>
    </xdr:from>
    <xdr:to>
      <xdr:col>3</xdr:col>
      <xdr:colOff>161926</xdr:colOff>
      <xdr:row>29</xdr:row>
      <xdr:rowOff>781050</xdr:rowOff>
    </xdr:to>
    <xdr:sp macro="" textlink="">
      <xdr:nvSpPr>
        <xdr:cNvPr id="30" name="TextBox 29">
          <a:hlinkClick xmlns:r="http://schemas.openxmlformats.org/officeDocument/2006/relationships" r:id="rId21"/>
          <a:extLst>
            <a:ext uri="{FF2B5EF4-FFF2-40B4-BE49-F238E27FC236}">
              <a16:creationId xmlns:a16="http://schemas.microsoft.com/office/drawing/2014/main" id="{00000000-0008-0000-0D00-00001E000000}"/>
            </a:ext>
          </a:extLst>
        </xdr:cNvPr>
        <xdr:cNvSpPr txBox="1"/>
      </xdr:nvSpPr>
      <xdr:spPr>
        <a:xfrm>
          <a:off x="3543302" y="209835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35</xdr:row>
      <xdr:rowOff>790575</xdr:rowOff>
    </xdr:from>
    <xdr:to>
      <xdr:col>3</xdr:col>
      <xdr:colOff>161926</xdr:colOff>
      <xdr:row>35</xdr:row>
      <xdr:rowOff>942975</xdr:rowOff>
    </xdr:to>
    <xdr:sp macro="" textlink="">
      <xdr:nvSpPr>
        <xdr:cNvPr id="32" name="TextBox 31">
          <a:hlinkClick xmlns:r="http://schemas.openxmlformats.org/officeDocument/2006/relationships" r:id="rId22"/>
          <a:extLst>
            <a:ext uri="{FF2B5EF4-FFF2-40B4-BE49-F238E27FC236}">
              <a16:creationId xmlns:a16="http://schemas.microsoft.com/office/drawing/2014/main" id="{00000000-0008-0000-0D00-000020000000}"/>
            </a:ext>
          </a:extLst>
        </xdr:cNvPr>
        <xdr:cNvSpPr txBox="1"/>
      </xdr:nvSpPr>
      <xdr:spPr>
        <a:xfrm>
          <a:off x="3543302" y="61055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37</xdr:row>
      <xdr:rowOff>790577</xdr:rowOff>
    </xdr:from>
    <xdr:to>
      <xdr:col>3</xdr:col>
      <xdr:colOff>161925</xdr:colOff>
      <xdr:row>37</xdr:row>
      <xdr:rowOff>942975</xdr:rowOff>
    </xdr:to>
    <xdr:sp macro="" textlink="">
      <xdr:nvSpPr>
        <xdr:cNvPr id="39" name="TextBox 38">
          <a:hlinkClick xmlns:r="http://schemas.openxmlformats.org/officeDocument/2006/relationships" r:id="rId23"/>
          <a:extLst>
            <a:ext uri="{FF2B5EF4-FFF2-40B4-BE49-F238E27FC236}">
              <a16:creationId xmlns:a16="http://schemas.microsoft.com/office/drawing/2014/main" id="{00000000-0008-0000-0D00-000027000000}"/>
            </a:ext>
          </a:extLst>
        </xdr:cNvPr>
        <xdr:cNvSpPr txBox="1"/>
      </xdr:nvSpPr>
      <xdr:spPr>
        <a:xfrm>
          <a:off x="3533775" y="8029577"/>
          <a:ext cx="152400" cy="15239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1" name="TextBox 40">
          <a:hlinkClick xmlns:r="http://schemas.openxmlformats.org/officeDocument/2006/relationships" r:id="rId24"/>
          <a:extLst>
            <a:ext uri="{FF2B5EF4-FFF2-40B4-BE49-F238E27FC236}">
              <a16:creationId xmlns:a16="http://schemas.microsoft.com/office/drawing/2014/main" id="{00000000-0008-0000-0D00-000029000000}"/>
            </a:ext>
          </a:extLst>
        </xdr:cNvPr>
        <xdr:cNvSpPr txBox="1"/>
      </xdr:nvSpPr>
      <xdr:spPr>
        <a:xfrm>
          <a:off x="3543300" y="13782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7</xdr:row>
      <xdr:rowOff>628650</xdr:rowOff>
    </xdr:from>
    <xdr:to>
      <xdr:col>3</xdr:col>
      <xdr:colOff>161925</xdr:colOff>
      <xdr:row>7</xdr:row>
      <xdr:rowOff>781050</xdr:rowOff>
    </xdr:to>
    <xdr:sp macro="" textlink="">
      <xdr:nvSpPr>
        <xdr:cNvPr id="42" name="TextBox 41">
          <a:hlinkClick xmlns:r="http://schemas.openxmlformats.org/officeDocument/2006/relationships" r:id="rId25"/>
          <a:extLst>
            <a:ext uri="{FF2B5EF4-FFF2-40B4-BE49-F238E27FC236}">
              <a16:creationId xmlns:a16="http://schemas.microsoft.com/office/drawing/2014/main" id="{00000000-0008-0000-0D00-00002A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8</xdr:row>
      <xdr:rowOff>628650</xdr:rowOff>
    </xdr:from>
    <xdr:to>
      <xdr:col>3</xdr:col>
      <xdr:colOff>161925</xdr:colOff>
      <xdr:row>8</xdr:row>
      <xdr:rowOff>781050</xdr:rowOff>
    </xdr:to>
    <xdr:sp macro="" textlink="">
      <xdr:nvSpPr>
        <xdr:cNvPr id="43" name="TextBox 42">
          <a:hlinkClick xmlns:r="http://schemas.openxmlformats.org/officeDocument/2006/relationships" r:id="rId26"/>
          <a:extLst>
            <a:ext uri="{FF2B5EF4-FFF2-40B4-BE49-F238E27FC236}">
              <a16:creationId xmlns:a16="http://schemas.microsoft.com/office/drawing/2014/main" id="{00000000-0008-0000-0D00-00002B000000}"/>
            </a:ext>
          </a:extLst>
        </xdr:cNvPr>
        <xdr:cNvSpPr txBox="1"/>
      </xdr:nvSpPr>
      <xdr:spPr>
        <a:xfrm>
          <a:off x="3543300" y="49815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18</xdr:row>
      <xdr:rowOff>628650</xdr:rowOff>
    </xdr:from>
    <xdr:to>
      <xdr:col>3</xdr:col>
      <xdr:colOff>161925</xdr:colOff>
      <xdr:row>18</xdr:row>
      <xdr:rowOff>781050</xdr:rowOff>
    </xdr:to>
    <xdr:sp macro="" textlink="">
      <xdr:nvSpPr>
        <xdr:cNvPr id="44" name="TextBox 43">
          <a:hlinkClick xmlns:r="http://schemas.openxmlformats.org/officeDocument/2006/relationships" r:id="rId11"/>
          <a:extLst>
            <a:ext uri="{FF2B5EF4-FFF2-40B4-BE49-F238E27FC236}">
              <a16:creationId xmlns:a16="http://schemas.microsoft.com/office/drawing/2014/main" id="{00000000-0008-0000-0D00-00002C000000}"/>
            </a:ext>
          </a:extLst>
        </xdr:cNvPr>
        <xdr:cNvSpPr txBox="1"/>
      </xdr:nvSpPr>
      <xdr:spPr>
        <a:xfrm>
          <a:off x="3543300" y="57816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20</xdr:row>
      <xdr:rowOff>628650</xdr:rowOff>
    </xdr:from>
    <xdr:to>
      <xdr:col>3</xdr:col>
      <xdr:colOff>161925</xdr:colOff>
      <xdr:row>20</xdr:row>
      <xdr:rowOff>781050</xdr:rowOff>
    </xdr:to>
    <xdr:sp macro="" textlink="">
      <xdr:nvSpPr>
        <xdr:cNvPr id="45" name="TextBox 44">
          <a:hlinkClick xmlns:r="http://schemas.openxmlformats.org/officeDocument/2006/relationships" r:id="rId27"/>
          <a:extLst>
            <a:ext uri="{FF2B5EF4-FFF2-40B4-BE49-F238E27FC236}">
              <a16:creationId xmlns:a16="http://schemas.microsoft.com/office/drawing/2014/main" id="{00000000-0008-0000-0D00-00002D000000}"/>
            </a:ext>
          </a:extLst>
        </xdr:cNvPr>
        <xdr:cNvSpPr txBox="1"/>
      </xdr:nvSpPr>
      <xdr:spPr>
        <a:xfrm>
          <a:off x="3543300" y="73818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16</xdr:row>
      <xdr:rowOff>628650</xdr:rowOff>
    </xdr:from>
    <xdr:to>
      <xdr:col>3</xdr:col>
      <xdr:colOff>161926</xdr:colOff>
      <xdr:row>16</xdr:row>
      <xdr:rowOff>781050</xdr:rowOff>
    </xdr:to>
    <xdr:sp macro="" textlink="">
      <xdr:nvSpPr>
        <xdr:cNvPr id="46" name="TextBox 45">
          <a:hlinkClick xmlns:r="http://schemas.openxmlformats.org/officeDocument/2006/relationships" r:id="rId10"/>
          <a:extLst>
            <a:ext uri="{FF2B5EF4-FFF2-40B4-BE49-F238E27FC236}">
              <a16:creationId xmlns:a16="http://schemas.microsoft.com/office/drawing/2014/main" id="{00000000-0008-0000-0D00-00002E000000}"/>
            </a:ext>
          </a:extLst>
        </xdr:cNvPr>
        <xdr:cNvSpPr txBox="1"/>
      </xdr:nvSpPr>
      <xdr:spPr>
        <a:xfrm>
          <a:off x="3543302" y="41814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19</xdr:row>
      <xdr:rowOff>628650</xdr:rowOff>
    </xdr:from>
    <xdr:to>
      <xdr:col>3</xdr:col>
      <xdr:colOff>161925</xdr:colOff>
      <xdr:row>19</xdr:row>
      <xdr:rowOff>781050</xdr:rowOff>
    </xdr:to>
    <xdr:sp macro="" textlink="">
      <xdr:nvSpPr>
        <xdr:cNvPr id="47" name="TextBox 46">
          <a:hlinkClick xmlns:r="http://schemas.openxmlformats.org/officeDocument/2006/relationships" r:id="rId28"/>
          <a:extLst>
            <a:ext uri="{FF2B5EF4-FFF2-40B4-BE49-F238E27FC236}">
              <a16:creationId xmlns:a16="http://schemas.microsoft.com/office/drawing/2014/main" id="{00000000-0008-0000-0D00-00002F000000}"/>
            </a:ext>
          </a:extLst>
        </xdr:cNvPr>
        <xdr:cNvSpPr txBox="1"/>
      </xdr:nvSpPr>
      <xdr:spPr>
        <a:xfrm>
          <a:off x="3543300" y="65817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19050</xdr:colOff>
      <xdr:row>21</xdr:row>
      <xdr:rowOff>628650</xdr:rowOff>
    </xdr:from>
    <xdr:to>
      <xdr:col>3</xdr:col>
      <xdr:colOff>161925</xdr:colOff>
      <xdr:row>21</xdr:row>
      <xdr:rowOff>781050</xdr:rowOff>
    </xdr:to>
    <xdr:sp macro="" textlink="">
      <xdr:nvSpPr>
        <xdr:cNvPr id="48" name="TextBox 47">
          <a:hlinkClick xmlns:r="http://schemas.openxmlformats.org/officeDocument/2006/relationships" r:id="rId29"/>
          <a:extLst>
            <a:ext uri="{FF2B5EF4-FFF2-40B4-BE49-F238E27FC236}">
              <a16:creationId xmlns:a16="http://schemas.microsoft.com/office/drawing/2014/main" id="{00000000-0008-0000-0D00-000030000000}"/>
            </a:ext>
          </a:extLst>
        </xdr:cNvPr>
        <xdr:cNvSpPr txBox="1"/>
      </xdr:nvSpPr>
      <xdr:spPr>
        <a:xfrm>
          <a:off x="3543300" y="8181975"/>
          <a:ext cx="142875"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34</xdr:row>
      <xdr:rowOff>790575</xdr:rowOff>
    </xdr:from>
    <xdr:to>
      <xdr:col>3</xdr:col>
      <xdr:colOff>152401</xdr:colOff>
      <xdr:row>34</xdr:row>
      <xdr:rowOff>942975</xdr:rowOff>
    </xdr:to>
    <xdr:sp macro="" textlink="">
      <xdr:nvSpPr>
        <xdr:cNvPr id="52" name="TextBox 51">
          <a:hlinkClick xmlns:r="http://schemas.openxmlformats.org/officeDocument/2006/relationships" r:id="rId30"/>
          <a:extLst>
            <a:ext uri="{FF2B5EF4-FFF2-40B4-BE49-F238E27FC236}">
              <a16:creationId xmlns:a16="http://schemas.microsoft.com/office/drawing/2014/main" id="{00000000-0008-0000-0D00-000034000000}"/>
            </a:ext>
          </a:extLst>
        </xdr:cNvPr>
        <xdr:cNvSpPr txBox="1"/>
      </xdr:nvSpPr>
      <xdr:spPr>
        <a:xfrm>
          <a:off x="3533777" y="51435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36</xdr:row>
      <xdr:rowOff>790575</xdr:rowOff>
    </xdr:from>
    <xdr:to>
      <xdr:col>3</xdr:col>
      <xdr:colOff>161926</xdr:colOff>
      <xdr:row>36</xdr:row>
      <xdr:rowOff>942975</xdr:rowOff>
    </xdr:to>
    <xdr:sp macro="" textlink="">
      <xdr:nvSpPr>
        <xdr:cNvPr id="53" name="TextBox 52">
          <a:hlinkClick xmlns:r="http://schemas.openxmlformats.org/officeDocument/2006/relationships" r:id="rId31"/>
          <a:extLst>
            <a:ext uri="{FF2B5EF4-FFF2-40B4-BE49-F238E27FC236}">
              <a16:creationId xmlns:a16="http://schemas.microsoft.com/office/drawing/2014/main" id="{00000000-0008-0000-0D00-000035000000}"/>
            </a:ext>
          </a:extLst>
        </xdr:cNvPr>
        <xdr:cNvSpPr txBox="1"/>
      </xdr:nvSpPr>
      <xdr:spPr>
        <a:xfrm>
          <a:off x="3543302" y="70675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39</xdr:row>
      <xdr:rowOff>790575</xdr:rowOff>
    </xdr:from>
    <xdr:to>
      <xdr:col>3</xdr:col>
      <xdr:colOff>152401</xdr:colOff>
      <xdr:row>39</xdr:row>
      <xdr:rowOff>942975</xdr:rowOff>
    </xdr:to>
    <xdr:sp macro="" textlink="">
      <xdr:nvSpPr>
        <xdr:cNvPr id="55" name="TextBox 54">
          <a:hlinkClick xmlns:r="http://schemas.openxmlformats.org/officeDocument/2006/relationships" r:id="rId32"/>
          <a:extLst>
            <a:ext uri="{FF2B5EF4-FFF2-40B4-BE49-F238E27FC236}">
              <a16:creationId xmlns:a16="http://schemas.microsoft.com/office/drawing/2014/main" id="{00000000-0008-0000-0D00-000037000000}"/>
            </a:ext>
          </a:extLst>
        </xdr:cNvPr>
        <xdr:cNvSpPr txBox="1"/>
      </xdr:nvSpPr>
      <xdr:spPr>
        <a:xfrm>
          <a:off x="3533777" y="99536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40</xdr:row>
      <xdr:rowOff>790575</xdr:rowOff>
    </xdr:from>
    <xdr:to>
      <xdr:col>3</xdr:col>
      <xdr:colOff>161926</xdr:colOff>
      <xdr:row>40</xdr:row>
      <xdr:rowOff>942975</xdr:rowOff>
    </xdr:to>
    <xdr:sp macro="" textlink="">
      <xdr:nvSpPr>
        <xdr:cNvPr id="56" name="TextBox 55">
          <a:hlinkClick xmlns:r="http://schemas.openxmlformats.org/officeDocument/2006/relationships" r:id="rId33"/>
          <a:extLst>
            <a:ext uri="{FF2B5EF4-FFF2-40B4-BE49-F238E27FC236}">
              <a16:creationId xmlns:a16="http://schemas.microsoft.com/office/drawing/2014/main" id="{00000000-0008-0000-0D00-000038000000}"/>
            </a:ext>
          </a:extLst>
        </xdr:cNvPr>
        <xdr:cNvSpPr txBox="1"/>
      </xdr:nvSpPr>
      <xdr:spPr>
        <a:xfrm>
          <a:off x="3543302" y="109156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41</xdr:row>
      <xdr:rowOff>790575</xdr:rowOff>
    </xdr:from>
    <xdr:to>
      <xdr:col>3</xdr:col>
      <xdr:colOff>152401</xdr:colOff>
      <xdr:row>41</xdr:row>
      <xdr:rowOff>942975</xdr:rowOff>
    </xdr:to>
    <xdr:sp macro="" textlink="">
      <xdr:nvSpPr>
        <xdr:cNvPr id="57" name="TextBox 56">
          <a:hlinkClick xmlns:r="http://schemas.openxmlformats.org/officeDocument/2006/relationships" r:id="rId34"/>
          <a:extLst>
            <a:ext uri="{FF2B5EF4-FFF2-40B4-BE49-F238E27FC236}">
              <a16:creationId xmlns:a16="http://schemas.microsoft.com/office/drawing/2014/main" id="{00000000-0008-0000-0D00-000039000000}"/>
            </a:ext>
          </a:extLst>
        </xdr:cNvPr>
        <xdr:cNvSpPr txBox="1"/>
      </xdr:nvSpPr>
      <xdr:spPr>
        <a:xfrm>
          <a:off x="3533777" y="118776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19052</xdr:colOff>
      <xdr:row>42</xdr:row>
      <xdr:rowOff>790575</xdr:rowOff>
    </xdr:from>
    <xdr:to>
      <xdr:col>3</xdr:col>
      <xdr:colOff>161926</xdr:colOff>
      <xdr:row>42</xdr:row>
      <xdr:rowOff>942975</xdr:rowOff>
    </xdr:to>
    <xdr:sp macro="" textlink="">
      <xdr:nvSpPr>
        <xdr:cNvPr id="58" name="TextBox 57">
          <a:hlinkClick xmlns:r="http://schemas.openxmlformats.org/officeDocument/2006/relationships" r:id="rId35"/>
          <a:extLst>
            <a:ext uri="{FF2B5EF4-FFF2-40B4-BE49-F238E27FC236}">
              <a16:creationId xmlns:a16="http://schemas.microsoft.com/office/drawing/2014/main" id="{00000000-0008-0000-0D00-00003A000000}"/>
            </a:ext>
          </a:extLst>
        </xdr:cNvPr>
        <xdr:cNvSpPr txBox="1"/>
      </xdr:nvSpPr>
      <xdr:spPr>
        <a:xfrm>
          <a:off x="3543302" y="128397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44</xdr:row>
      <xdr:rowOff>790575</xdr:rowOff>
    </xdr:from>
    <xdr:to>
      <xdr:col>3</xdr:col>
      <xdr:colOff>152401</xdr:colOff>
      <xdr:row>44</xdr:row>
      <xdr:rowOff>942975</xdr:rowOff>
    </xdr:to>
    <xdr:sp macro="" textlink="">
      <xdr:nvSpPr>
        <xdr:cNvPr id="59" name="TextBox 58">
          <a:hlinkClick xmlns:r="http://schemas.openxmlformats.org/officeDocument/2006/relationships" r:id="rId36"/>
          <a:extLst>
            <a:ext uri="{FF2B5EF4-FFF2-40B4-BE49-F238E27FC236}">
              <a16:creationId xmlns:a16="http://schemas.microsoft.com/office/drawing/2014/main" id="{00000000-0008-0000-0D00-00003B000000}"/>
            </a:ext>
          </a:extLst>
        </xdr:cNvPr>
        <xdr:cNvSpPr txBox="1"/>
      </xdr:nvSpPr>
      <xdr:spPr>
        <a:xfrm>
          <a:off x="3533777" y="1476375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43</xdr:row>
      <xdr:rowOff>790575</xdr:rowOff>
    </xdr:from>
    <xdr:to>
      <xdr:col>3</xdr:col>
      <xdr:colOff>152401</xdr:colOff>
      <xdr:row>43</xdr:row>
      <xdr:rowOff>942975</xdr:rowOff>
    </xdr:to>
    <xdr:sp macro="" textlink="">
      <xdr:nvSpPr>
        <xdr:cNvPr id="60" name="TextBox 59">
          <a:hlinkClick xmlns:r="http://schemas.openxmlformats.org/officeDocument/2006/relationships" r:id="rId37"/>
          <a:extLst>
            <a:ext uri="{FF2B5EF4-FFF2-40B4-BE49-F238E27FC236}">
              <a16:creationId xmlns:a16="http://schemas.microsoft.com/office/drawing/2014/main" id="{00000000-0008-0000-0D00-00003C000000}"/>
            </a:ext>
          </a:extLst>
        </xdr:cNvPr>
        <xdr:cNvSpPr txBox="1"/>
      </xdr:nvSpPr>
      <xdr:spPr>
        <a:xfrm>
          <a:off x="3533777" y="1380172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9527</xdr:colOff>
      <xdr:row>45</xdr:row>
      <xdr:rowOff>790575</xdr:rowOff>
    </xdr:from>
    <xdr:to>
      <xdr:col>3</xdr:col>
      <xdr:colOff>152401</xdr:colOff>
      <xdr:row>45</xdr:row>
      <xdr:rowOff>942975</xdr:rowOff>
    </xdr:to>
    <xdr:sp macro="" textlink="">
      <xdr:nvSpPr>
        <xdr:cNvPr id="61" name="TextBox 60">
          <a:hlinkClick xmlns:r="http://schemas.openxmlformats.org/officeDocument/2006/relationships" r:id="rId38"/>
          <a:extLst>
            <a:ext uri="{FF2B5EF4-FFF2-40B4-BE49-F238E27FC236}">
              <a16:creationId xmlns:a16="http://schemas.microsoft.com/office/drawing/2014/main" id="{00000000-0008-0000-0D00-00003D000000}"/>
            </a:ext>
          </a:extLst>
        </xdr:cNvPr>
        <xdr:cNvSpPr txBox="1"/>
      </xdr:nvSpPr>
      <xdr:spPr>
        <a:xfrm>
          <a:off x="3533777" y="15725775"/>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twoCellAnchor>
    <xdr:from>
      <xdr:col>3</xdr:col>
      <xdr:colOff>9525</xdr:colOff>
      <xdr:row>46</xdr:row>
      <xdr:rowOff>790575</xdr:rowOff>
    </xdr:from>
    <xdr:to>
      <xdr:col>3</xdr:col>
      <xdr:colOff>152399</xdr:colOff>
      <xdr:row>46</xdr:row>
      <xdr:rowOff>942975</xdr:rowOff>
    </xdr:to>
    <xdr:sp macro="" textlink="">
      <xdr:nvSpPr>
        <xdr:cNvPr id="49" name="TextBox 48">
          <a:hlinkClick xmlns:r="http://schemas.openxmlformats.org/officeDocument/2006/relationships" r:id="rId39"/>
          <a:extLst>
            <a:ext uri="{FF2B5EF4-FFF2-40B4-BE49-F238E27FC236}">
              <a16:creationId xmlns:a16="http://schemas.microsoft.com/office/drawing/2014/main" id="{00000000-0008-0000-0D00-000031000000}"/>
            </a:ext>
          </a:extLst>
        </xdr:cNvPr>
        <xdr:cNvSpPr txBox="1"/>
      </xdr:nvSpPr>
      <xdr:spPr>
        <a:xfrm>
          <a:off x="3533775" y="25488900"/>
          <a:ext cx="142874" cy="1524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ym typeface="Wingdings 3" panose="05040102010807070707" pitchFamily="18" charset="2"/>
            </a:rPr>
            <a:t></a:t>
          </a:r>
          <a:endParaRPr lang="en-US" sz="8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 Type="http://schemas.openxmlformats.org/officeDocument/2006/relationships/drawing" Target="../drawings/drawing1.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printerSettings" Target="../printerSettings/printerSettings1.bin"/><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ctrlProp" Target="../ctrlProps/ctrlProp1.xml"/><Relationship Id="rId1" Type="http://schemas.openxmlformats.org/officeDocument/2006/relationships/hyperlink" Target="https://www.whitehouse.gov/openingamerica/" TargetMode="External"/><Relationship Id="rId6" Type="http://schemas.openxmlformats.org/officeDocument/2006/relationships/image" Target="../media/image1.emf"/><Relationship Id="rId11" Type="http://schemas.openxmlformats.org/officeDocument/2006/relationships/control" Target="../activeX/activeX4.xml"/><Relationship Id="rId24" Type="http://schemas.openxmlformats.org/officeDocument/2006/relationships/image" Target="../media/image10.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10" Type="http://schemas.openxmlformats.org/officeDocument/2006/relationships/image" Target="../media/image3.emf"/><Relationship Id="rId19" Type="http://schemas.openxmlformats.org/officeDocument/2006/relationships/control" Target="../activeX/activeX8.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3" Type="http://schemas.openxmlformats.org/officeDocument/2006/relationships/vmlDrawing" Target="../drawings/vmlDrawing2.vml"/><Relationship Id="rId7" Type="http://schemas.openxmlformats.org/officeDocument/2006/relationships/image" Target="../media/image16.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14.xml"/><Relationship Id="rId11" Type="http://schemas.openxmlformats.org/officeDocument/2006/relationships/image" Target="../media/image18.emf"/><Relationship Id="rId5" Type="http://schemas.openxmlformats.org/officeDocument/2006/relationships/image" Target="../media/image15.emf"/><Relationship Id="rId10" Type="http://schemas.openxmlformats.org/officeDocument/2006/relationships/control" Target="../activeX/activeX16.xml"/><Relationship Id="rId4" Type="http://schemas.openxmlformats.org/officeDocument/2006/relationships/control" Target="../activeX/activeX13.xml"/><Relationship Id="rId9" Type="http://schemas.openxmlformats.org/officeDocument/2006/relationships/image" Target="../media/image17.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18.xml"/><Relationship Id="rId11" Type="http://schemas.openxmlformats.org/officeDocument/2006/relationships/image" Target="../media/image22.emf"/><Relationship Id="rId5" Type="http://schemas.openxmlformats.org/officeDocument/2006/relationships/image" Target="../media/image19.emf"/><Relationship Id="rId10" Type="http://schemas.openxmlformats.org/officeDocument/2006/relationships/control" Target="../activeX/activeX20.xml"/><Relationship Id="rId4" Type="http://schemas.openxmlformats.org/officeDocument/2006/relationships/control" Target="../activeX/activeX17.xml"/><Relationship Id="rId9" Type="http://schemas.openxmlformats.org/officeDocument/2006/relationships/image" Target="../media/image21.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3.xml"/><Relationship Id="rId3" Type="http://schemas.openxmlformats.org/officeDocument/2006/relationships/vmlDrawing" Target="../drawings/vmlDrawing4.vml"/><Relationship Id="rId7" Type="http://schemas.openxmlformats.org/officeDocument/2006/relationships/image" Target="../media/image24.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22.xml"/><Relationship Id="rId11" Type="http://schemas.openxmlformats.org/officeDocument/2006/relationships/image" Target="../media/image26.emf"/><Relationship Id="rId5" Type="http://schemas.openxmlformats.org/officeDocument/2006/relationships/image" Target="../media/image23.emf"/><Relationship Id="rId10" Type="http://schemas.openxmlformats.org/officeDocument/2006/relationships/control" Target="../activeX/activeX24.xml"/><Relationship Id="rId4" Type="http://schemas.openxmlformats.org/officeDocument/2006/relationships/control" Target="../activeX/activeX21.xml"/><Relationship Id="rId9" Type="http://schemas.openxmlformats.org/officeDocument/2006/relationships/image" Target="../media/image2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5.vml"/><Relationship Id="rId7" Type="http://schemas.openxmlformats.org/officeDocument/2006/relationships/image" Target="../media/image28.emf"/><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26.xml"/><Relationship Id="rId11" Type="http://schemas.openxmlformats.org/officeDocument/2006/relationships/image" Target="../media/image30.emf"/><Relationship Id="rId5" Type="http://schemas.openxmlformats.org/officeDocument/2006/relationships/image" Target="../media/image27.emf"/><Relationship Id="rId10" Type="http://schemas.openxmlformats.org/officeDocument/2006/relationships/control" Target="../activeX/activeX28.xml"/><Relationship Id="rId4" Type="http://schemas.openxmlformats.org/officeDocument/2006/relationships/control" Target="../activeX/activeX25.xml"/><Relationship Id="rId9" Type="http://schemas.openxmlformats.org/officeDocument/2006/relationships/image" Target="../media/image29.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6.vml"/><Relationship Id="rId7" Type="http://schemas.openxmlformats.org/officeDocument/2006/relationships/image" Target="../media/image32.emf"/><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30.xml"/><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33.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5.xml"/><Relationship Id="rId3" Type="http://schemas.openxmlformats.org/officeDocument/2006/relationships/vmlDrawing" Target="../drawings/vmlDrawing7.vml"/><Relationship Id="rId7" Type="http://schemas.openxmlformats.org/officeDocument/2006/relationships/image" Target="../media/image36.emf"/><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ntrol" Target="../activeX/activeX34.xml"/><Relationship Id="rId11" Type="http://schemas.openxmlformats.org/officeDocument/2006/relationships/image" Target="../media/image38.emf"/><Relationship Id="rId5" Type="http://schemas.openxmlformats.org/officeDocument/2006/relationships/image" Target="../media/image35.emf"/><Relationship Id="rId10" Type="http://schemas.openxmlformats.org/officeDocument/2006/relationships/control" Target="../activeX/activeX36.xml"/><Relationship Id="rId4" Type="http://schemas.openxmlformats.org/officeDocument/2006/relationships/control" Target="../activeX/activeX33.xml"/><Relationship Id="rId9" Type="http://schemas.openxmlformats.org/officeDocument/2006/relationships/image" Target="../media/image3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9.xml"/><Relationship Id="rId3" Type="http://schemas.openxmlformats.org/officeDocument/2006/relationships/vmlDrawing" Target="../drawings/vmlDrawing8.vml"/><Relationship Id="rId7" Type="http://schemas.openxmlformats.org/officeDocument/2006/relationships/image" Target="../media/image40.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38.xml"/><Relationship Id="rId11" Type="http://schemas.openxmlformats.org/officeDocument/2006/relationships/image" Target="../media/image42.emf"/><Relationship Id="rId5" Type="http://schemas.openxmlformats.org/officeDocument/2006/relationships/image" Target="../media/image39.emf"/><Relationship Id="rId10" Type="http://schemas.openxmlformats.org/officeDocument/2006/relationships/control" Target="../activeX/activeX40.xml"/><Relationship Id="rId4" Type="http://schemas.openxmlformats.org/officeDocument/2006/relationships/control" Target="../activeX/activeX37.xml"/><Relationship Id="rId9" Type="http://schemas.openxmlformats.org/officeDocument/2006/relationships/image" Target="../media/image41.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9.vml"/><Relationship Id="rId7" Type="http://schemas.openxmlformats.org/officeDocument/2006/relationships/image" Target="../media/image44.emf"/><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ontrol" Target="../activeX/activeX42.xml"/><Relationship Id="rId11" Type="http://schemas.openxmlformats.org/officeDocument/2006/relationships/image" Target="../media/image46.emf"/><Relationship Id="rId5" Type="http://schemas.openxmlformats.org/officeDocument/2006/relationships/image" Target="../media/image43.emf"/><Relationship Id="rId10" Type="http://schemas.openxmlformats.org/officeDocument/2006/relationships/control" Target="../activeX/activeX4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47.xml"/><Relationship Id="rId3" Type="http://schemas.openxmlformats.org/officeDocument/2006/relationships/vmlDrawing" Target="../drawings/vmlDrawing10.vml"/><Relationship Id="rId7" Type="http://schemas.openxmlformats.org/officeDocument/2006/relationships/image" Target="../media/image48.emf"/><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ontrol" Target="../activeX/activeX46.xml"/><Relationship Id="rId11" Type="http://schemas.openxmlformats.org/officeDocument/2006/relationships/image" Target="../media/image50.emf"/><Relationship Id="rId5" Type="http://schemas.openxmlformats.org/officeDocument/2006/relationships/image" Target="../media/image47.emf"/><Relationship Id="rId10" Type="http://schemas.openxmlformats.org/officeDocument/2006/relationships/control" Target="../activeX/activeX48.xml"/><Relationship Id="rId4" Type="http://schemas.openxmlformats.org/officeDocument/2006/relationships/control" Target="../activeX/activeX45.xml"/><Relationship Id="rId9" Type="http://schemas.openxmlformats.org/officeDocument/2006/relationships/image" Target="../media/image4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51.xml"/><Relationship Id="rId3" Type="http://schemas.openxmlformats.org/officeDocument/2006/relationships/vmlDrawing" Target="../drawings/vmlDrawing11.vml"/><Relationship Id="rId7" Type="http://schemas.openxmlformats.org/officeDocument/2006/relationships/image" Target="../media/image52.emf"/><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ontrol" Target="../activeX/activeX50.xml"/><Relationship Id="rId11" Type="http://schemas.openxmlformats.org/officeDocument/2006/relationships/image" Target="../media/image54.emf"/><Relationship Id="rId5" Type="http://schemas.openxmlformats.org/officeDocument/2006/relationships/image" Target="../media/image51.emf"/><Relationship Id="rId10" Type="http://schemas.openxmlformats.org/officeDocument/2006/relationships/control" Target="../activeX/activeX52.xml"/><Relationship Id="rId4" Type="http://schemas.openxmlformats.org/officeDocument/2006/relationships/control" Target="../activeX/activeX49.xml"/><Relationship Id="rId9" Type="http://schemas.openxmlformats.org/officeDocument/2006/relationships/image" Target="../media/image5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2.vml"/><Relationship Id="rId7" Type="http://schemas.openxmlformats.org/officeDocument/2006/relationships/image" Target="../media/image56.emf"/><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ontrol" Target="../activeX/activeX54.xml"/><Relationship Id="rId11" Type="http://schemas.openxmlformats.org/officeDocument/2006/relationships/image" Target="../media/image58.emf"/><Relationship Id="rId5" Type="http://schemas.openxmlformats.org/officeDocument/2006/relationships/image" Target="../media/image55.emf"/><Relationship Id="rId10" Type="http://schemas.openxmlformats.org/officeDocument/2006/relationships/control" Target="../activeX/activeX56.xml"/><Relationship Id="rId4" Type="http://schemas.openxmlformats.org/officeDocument/2006/relationships/control" Target="../activeX/activeX53.xml"/><Relationship Id="rId9" Type="http://schemas.openxmlformats.org/officeDocument/2006/relationships/image" Target="../media/image57.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59.xml"/><Relationship Id="rId3" Type="http://schemas.openxmlformats.org/officeDocument/2006/relationships/vmlDrawing" Target="../drawings/vmlDrawing13.vml"/><Relationship Id="rId7" Type="http://schemas.openxmlformats.org/officeDocument/2006/relationships/image" Target="../media/image60.emf"/><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ontrol" Target="../activeX/activeX58.xml"/><Relationship Id="rId11" Type="http://schemas.openxmlformats.org/officeDocument/2006/relationships/image" Target="../media/image62.emf"/><Relationship Id="rId5" Type="http://schemas.openxmlformats.org/officeDocument/2006/relationships/image" Target="../media/image59.emf"/><Relationship Id="rId10" Type="http://schemas.openxmlformats.org/officeDocument/2006/relationships/control" Target="../activeX/activeX60.xml"/><Relationship Id="rId4" Type="http://schemas.openxmlformats.org/officeDocument/2006/relationships/control" Target="../activeX/activeX57.xml"/><Relationship Id="rId9" Type="http://schemas.openxmlformats.org/officeDocument/2006/relationships/image" Target="../media/image61.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4AE6-6ABC-4AFF-BE97-1F023F843117}">
  <sheetPr codeName="Sheet3">
    <tabColor theme="0" tint="-0.249977111117893"/>
  </sheetPr>
  <dimension ref="A1:Q57"/>
  <sheetViews>
    <sheetView tabSelected="1" zoomScaleNormal="100" workbookViewId="0">
      <selection activeCell="A2" sqref="A2"/>
    </sheetView>
  </sheetViews>
  <sheetFormatPr defaultColWidth="9.140625" defaultRowHeight="15" x14ac:dyDescent="0.25"/>
  <cols>
    <col min="1" max="7" width="9.140625" style="118"/>
    <col min="8" max="8" width="9.140625" style="118" customWidth="1"/>
    <col min="9" max="9" width="8.5703125" style="118" customWidth="1"/>
    <col min="10" max="10" width="8.42578125" style="118" customWidth="1"/>
    <col min="11" max="11" width="9.140625" style="118"/>
    <col min="12" max="15" width="22.28515625" style="118" customWidth="1"/>
    <col min="16" max="16384" width="9.140625" style="118"/>
  </cols>
  <sheetData>
    <row r="1" spans="1:16" ht="27" customHeight="1" x14ac:dyDescent="0.25">
      <c r="A1" s="194" t="s">
        <v>163</v>
      </c>
      <c r="B1" s="195"/>
      <c r="C1" s="195"/>
      <c r="D1" s="195"/>
      <c r="E1" s="195"/>
      <c r="F1" s="195"/>
      <c r="G1" s="195"/>
      <c r="H1" s="195"/>
      <c r="I1" s="195"/>
      <c r="J1" s="195"/>
      <c r="K1" s="195"/>
      <c r="L1" s="195"/>
      <c r="M1" s="195"/>
      <c r="N1" s="195"/>
      <c r="O1" s="195"/>
      <c r="P1" s="195"/>
    </row>
    <row r="2" spans="1:16" x14ac:dyDescent="0.25">
      <c r="A2" s="119" t="s">
        <v>297</v>
      </c>
      <c r="B2" s="119"/>
      <c r="C2" s="119"/>
      <c r="D2" s="119"/>
      <c r="E2" s="119"/>
      <c r="F2" s="119"/>
      <c r="G2" s="119"/>
      <c r="H2" s="119"/>
      <c r="I2" s="119"/>
      <c r="J2" s="119"/>
      <c r="K2" s="119"/>
      <c r="L2" s="119"/>
      <c r="M2" s="119"/>
      <c r="N2" s="119"/>
      <c r="O2" s="119"/>
      <c r="P2" s="119"/>
    </row>
    <row r="3" spans="1:16" ht="15" customHeight="1" x14ac:dyDescent="0.25">
      <c r="A3" s="119"/>
      <c r="B3" s="119"/>
      <c r="C3" s="120"/>
      <c r="D3" s="120"/>
      <c r="E3" s="120"/>
      <c r="F3" s="120"/>
      <c r="G3" s="120"/>
      <c r="H3" s="120"/>
      <c r="I3" s="120"/>
      <c r="J3" s="120"/>
      <c r="K3" s="120"/>
      <c r="L3" s="120"/>
      <c r="M3" s="120"/>
      <c r="N3" s="120"/>
      <c r="O3" s="120"/>
      <c r="P3" s="119"/>
    </row>
    <row r="4" spans="1:16" ht="30.75" customHeight="1" x14ac:dyDescent="0.25">
      <c r="A4" s="119"/>
      <c r="B4" s="120"/>
      <c r="C4" s="121" t="s">
        <v>188</v>
      </c>
      <c r="D4" s="191" t="s">
        <v>292</v>
      </c>
      <c r="E4" s="191"/>
      <c r="F4" s="191"/>
      <c r="G4" s="191"/>
      <c r="H4" s="191"/>
      <c r="I4" s="191"/>
      <c r="J4" s="191"/>
      <c r="K4" s="191"/>
      <c r="L4" s="191"/>
      <c r="M4" s="191"/>
      <c r="N4" s="191"/>
      <c r="O4" s="120"/>
      <c r="P4" s="120"/>
    </row>
    <row r="5" spans="1:16" ht="14.25" customHeight="1" x14ac:dyDescent="0.25">
      <c r="A5" s="119"/>
      <c r="B5" s="122"/>
      <c r="C5" s="121" t="s">
        <v>188</v>
      </c>
      <c r="D5" s="191" t="s">
        <v>286</v>
      </c>
      <c r="E5" s="191"/>
      <c r="F5" s="191"/>
      <c r="G5" s="191"/>
      <c r="H5" s="191"/>
      <c r="I5" s="191"/>
      <c r="J5" s="191"/>
      <c r="K5" s="191"/>
      <c r="L5" s="191"/>
      <c r="M5" s="191"/>
      <c r="N5" s="191"/>
      <c r="O5" s="122"/>
      <c r="P5" s="122"/>
    </row>
    <row r="6" spans="1:16" ht="17.25" customHeight="1" x14ac:dyDescent="0.25">
      <c r="A6" s="119"/>
      <c r="B6" s="123"/>
      <c r="C6" s="121" t="s">
        <v>188</v>
      </c>
      <c r="D6" s="183" t="s">
        <v>228</v>
      </c>
      <c r="E6" s="183"/>
      <c r="F6" s="183"/>
      <c r="G6" s="183"/>
      <c r="H6" s="183"/>
      <c r="I6" s="183"/>
      <c r="J6" s="183"/>
      <c r="K6" s="183"/>
      <c r="L6" s="183"/>
      <c r="M6" s="183"/>
      <c r="N6" s="183"/>
      <c r="O6" s="123"/>
      <c r="P6" s="123"/>
    </row>
    <row r="7" spans="1:16" ht="29.25" customHeight="1" x14ac:dyDescent="0.25">
      <c r="A7" s="119"/>
      <c r="B7" s="122"/>
      <c r="C7" s="121" t="s">
        <v>188</v>
      </c>
      <c r="D7" s="182" t="s">
        <v>92</v>
      </c>
      <c r="E7" s="182"/>
      <c r="F7" s="182"/>
      <c r="G7" s="182"/>
      <c r="H7" s="182"/>
      <c r="I7" s="182"/>
      <c r="J7" s="182"/>
      <c r="K7" s="182"/>
      <c r="L7" s="182"/>
      <c r="M7" s="182"/>
      <c r="N7" s="182"/>
      <c r="O7" s="122"/>
      <c r="P7" s="122"/>
    </row>
    <row r="8" spans="1:16" ht="15" customHeight="1" x14ac:dyDescent="0.25">
      <c r="A8" s="119"/>
      <c r="B8" s="119"/>
      <c r="C8" s="121" t="s">
        <v>188</v>
      </c>
      <c r="D8" s="182" t="s">
        <v>253</v>
      </c>
      <c r="E8" s="182"/>
      <c r="F8" s="182"/>
      <c r="G8" s="182"/>
      <c r="H8" s="182"/>
      <c r="I8" s="182"/>
      <c r="J8" s="182"/>
      <c r="K8" s="182"/>
      <c r="L8" s="182"/>
      <c r="M8" s="182"/>
      <c r="N8" s="182"/>
      <c r="O8" s="122"/>
      <c r="P8" s="119"/>
    </row>
    <row r="9" spans="1:16" ht="15" customHeight="1" x14ac:dyDescent="0.25">
      <c r="A9" s="119"/>
      <c r="B9" s="122"/>
      <c r="C9" s="122"/>
      <c r="D9" s="182"/>
      <c r="E9" s="182"/>
      <c r="F9" s="182"/>
      <c r="G9" s="182"/>
      <c r="H9" s="182"/>
      <c r="I9" s="182"/>
      <c r="J9" s="182"/>
      <c r="K9" s="182"/>
      <c r="L9" s="182"/>
      <c r="M9" s="182"/>
      <c r="N9" s="182"/>
      <c r="O9" s="122"/>
      <c r="P9" s="122"/>
    </row>
    <row r="10" spans="1:16" x14ac:dyDescent="0.25">
      <c r="A10" s="119"/>
      <c r="B10" s="122"/>
      <c r="C10" s="122"/>
      <c r="D10" s="189" t="s">
        <v>191</v>
      </c>
      <c r="E10" s="189"/>
      <c r="F10" s="189"/>
      <c r="G10" s="189"/>
      <c r="H10" s="189"/>
      <c r="I10" s="189"/>
      <c r="J10" s="189"/>
      <c r="K10" s="189"/>
      <c r="L10" s="189"/>
      <c r="M10" s="189"/>
      <c r="N10" s="189"/>
      <c r="O10" s="122"/>
      <c r="P10" s="119"/>
    </row>
    <row r="11" spans="1:16" x14ac:dyDescent="0.25">
      <c r="A11" s="119"/>
      <c r="B11" s="119"/>
      <c r="C11" s="124"/>
      <c r="D11" s="124"/>
      <c r="E11" s="124"/>
      <c r="F11" s="124"/>
      <c r="G11" s="124"/>
      <c r="H11" s="124"/>
      <c r="I11" s="124"/>
      <c r="J11" s="124"/>
      <c r="K11" s="124"/>
      <c r="L11" s="124"/>
      <c r="M11" s="124"/>
      <c r="N11" s="124"/>
      <c r="O11" s="124"/>
      <c r="P11" s="119"/>
    </row>
    <row r="12" spans="1:16" x14ac:dyDescent="0.25">
      <c r="A12" s="119"/>
      <c r="B12" s="119"/>
      <c r="C12" s="124"/>
      <c r="D12" s="186" t="s">
        <v>83</v>
      </c>
      <c r="E12" s="187"/>
      <c r="F12" s="187"/>
      <c r="G12" s="187"/>
      <c r="H12" s="187"/>
      <c r="I12" s="187"/>
      <c r="J12" s="187"/>
      <c r="K12" s="187"/>
      <c r="L12" s="187"/>
      <c r="M12" s="187"/>
      <c r="N12" s="188"/>
      <c r="O12" s="124"/>
      <c r="P12" s="119"/>
    </row>
    <row r="13" spans="1:16" x14ac:dyDescent="0.25">
      <c r="A13" s="119"/>
      <c r="B13" s="119"/>
      <c r="C13" s="125" t="s">
        <v>188</v>
      </c>
      <c r="D13" s="185" t="s">
        <v>192</v>
      </c>
      <c r="E13" s="185"/>
      <c r="F13" s="185"/>
      <c r="G13" s="185"/>
      <c r="H13" s="185"/>
      <c r="I13" s="185"/>
      <c r="J13" s="185"/>
      <c r="K13" s="185"/>
      <c r="L13" s="185"/>
      <c r="M13" s="185"/>
      <c r="N13" s="185"/>
      <c r="O13" s="124"/>
      <c r="P13" s="119"/>
    </row>
    <row r="14" spans="1:16" ht="15" customHeight="1" x14ac:dyDescent="0.25">
      <c r="A14" s="119"/>
      <c r="B14" s="119"/>
      <c r="C14" s="125" t="s">
        <v>188</v>
      </c>
      <c r="D14" s="192" t="s">
        <v>293</v>
      </c>
      <c r="E14" s="192"/>
      <c r="F14" s="192"/>
      <c r="G14" s="192"/>
      <c r="H14" s="192"/>
      <c r="I14" s="192"/>
      <c r="J14" s="193"/>
      <c r="K14" s="126" t="s">
        <v>84</v>
      </c>
      <c r="L14" s="178" t="s">
        <v>295</v>
      </c>
      <c r="M14" s="178"/>
      <c r="N14" s="178"/>
      <c r="O14" s="124"/>
      <c r="P14" s="119"/>
    </row>
    <row r="15" spans="1:16" ht="15" customHeight="1" x14ac:dyDescent="0.25">
      <c r="A15" s="119"/>
      <c r="B15" s="119"/>
      <c r="C15" s="125"/>
      <c r="D15" s="192" t="s">
        <v>294</v>
      </c>
      <c r="E15" s="192"/>
      <c r="F15" s="192"/>
      <c r="G15" s="192"/>
      <c r="H15" s="192"/>
      <c r="I15" s="192"/>
      <c r="J15" s="192"/>
      <c r="K15" s="192"/>
      <c r="L15" s="192"/>
      <c r="M15" s="192"/>
      <c r="N15" s="192"/>
      <c r="O15" s="177"/>
      <c r="P15" s="119"/>
    </row>
    <row r="16" spans="1:16" ht="15" customHeight="1" x14ac:dyDescent="0.25">
      <c r="A16" s="119"/>
      <c r="B16" s="119"/>
      <c r="C16" s="125" t="s">
        <v>188</v>
      </c>
      <c r="D16" s="182" t="s">
        <v>288</v>
      </c>
      <c r="E16" s="182"/>
      <c r="F16" s="182"/>
      <c r="G16" s="182"/>
      <c r="H16" s="182"/>
      <c r="I16" s="182"/>
      <c r="J16" s="182"/>
      <c r="K16" s="182"/>
      <c r="L16" s="182"/>
      <c r="M16" s="182"/>
      <c r="N16" s="182"/>
      <c r="O16" s="124"/>
      <c r="P16" s="119"/>
    </row>
    <row r="17" spans="1:17" ht="15" customHeight="1" x14ac:dyDescent="0.25">
      <c r="A17" s="119"/>
      <c r="B17" s="119"/>
      <c r="C17" s="124"/>
      <c r="D17" s="182"/>
      <c r="E17" s="182"/>
      <c r="F17" s="182"/>
      <c r="G17" s="182"/>
      <c r="H17" s="182"/>
      <c r="I17" s="182"/>
      <c r="J17" s="182"/>
      <c r="K17" s="182"/>
      <c r="L17" s="182"/>
      <c r="M17" s="182"/>
      <c r="N17" s="182"/>
      <c r="O17" s="124"/>
      <c r="P17" s="119"/>
    </row>
    <row r="18" spans="1:17" ht="15" customHeight="1" x14ac:dyDescent="0.25">
      <c r="A18" s="119"/>
      <c r="B18" s="119"/>
      <c r="C18" s="125" t="s">
        <v>188</v>
      </c>
      <c r="D18" s="182" t="s">
        <v>227</v>
      </c>
      <c r="E18" s="182"/>
      <c r="F18" s="182"/>
      <c r="G18" s="182"/>
      <c r="H18" s="182"/>
      <c r="I18" s="182"/>
      <c r="J18" s="182"/>
      <c r="K18" s="182"/>
      <c r="L18" s="182"/>
      <c r="M18" s="182"/>
      <c r="N18" s="182"/>
      <c r="O18" s="124"/>
      <c r="P18" s="119"/>
    </row>
    <row r="19" spans="1:17" ht="15" customHeight="1" x14ac:dyDescent="0.25">
      <c r="A19" s="119"/>
      <c r="B19" s="119"/>
      <c r="C19" s="125" t="s">
        <v>188</v>
      </c>
      <c r="D19" s="191" t="s">
        <v>268</v>
      </c>
      <c r="E19" s="191"/>
      <c r="F19" s="191"/>
      <c r="G19" s="191"/>
      <c r="H19" s="191"/>
      <c r="I19" s="191"/>
      <c r="J19" s="191"/>
      <c r="K19" s="191"/>
      <c r="L19" s="191"/>
      <c r="M19" s="191"/>
      <c r="N19" s="191"/>
      <c r="O19" s="124"/>
      <c r="P19" s="119"/>
    </row>
    <row r="20" spans="1:17" ht="15" customHeight="1" x14ac:dyDescent="0.25">
      <c r="A20" s="119"/>
      <c r="B20" s="119"/>
      <c r="C20" s="124"/>
      <c r="D20" s="191"/>
      <c r="E20" s="191"/>
      <c r="F20" s="191"/>
      <c r="G20" s="191"/>
      <c r="H20" s="191"/>
      <c r="I20" s="191"/>
      <c r="J20" s="191"/>
      <c r="K20" s="191"/>
      <c r="L20" s="191"/>
      <c r="M20" s="191"/>
      <c r="N20" s="191"/>
      <c r="O20" s="124"/>
      <c r="P20" s="119"/>
    </row>
    <row r="21" spans="1:17" ht="15" customHeight="1" x14ac:dyDescent="0.25">
      <c r="A21" s="119"/>
      <c r="B21" s="119"/>
      <c r="C21" s="125"/>
      <c r="D21" s="191"/>
      <c r="E21" s="191"/>
      <c r="F21" s="191"/>
      <c r="G21" s="191"/>
      <c r="H21" s="191"/>
      <c r="I21" s="191"/>
      <c r="J21" s="191"/>
      <c r="K21" s="191"/>
      <c r="L21" s="191"/>
      <c r="M21" s="191"/>
      <c r="N21" s="191"/>
      <c r="O21" s="124"/>
      <c r="P21" s="119"/>
    </row>
    <row r="22" spans="1:17" ht="15" customHeight="1" x14ac:dyDescent="0.25">
      <c r="A22" s="119"/>
      <c r="B22" s="119"/>
      <c r="C22" s="125" t="s">
        <v>188</v>
      </c>
      <c r="D22" s="191" t="s">
        <v>267</v>
      </c>
      <c r="E22" s="191"/>
      <c r="F22" s="191"/>
      <c r="G22" s="191"/>
      <c r="H22" s="191"/>
      <c r="I22" s="191"/>
      <c r="J22" s="191"/>
      <c r="K22" s="191"/>
      <c r="L22" s="191"/>
      <c r="M22" s="191"/>
      <c r="N22" s="191"/>
      <c r="O22" s="124"/>
      <c r="P22" s="119"/>
    </row>
    <row r="23" spans="1:17" ht="15" customHeight="1" x14ac:dyDescent="0.25">
      <c r="A23" s="119"/>
      <c r="B23" s="119"/>
      <c r="C23" s="125" t="s">
        <v>188</v>
      </c>
      <c r="D23" s="191" t="s">
        <v>289</v>
      </c>
      <c r="E23" s="191"/>
      <c r="F23" s="191"/>
      <c r="G23" s="191"/>
      <c r="H23" s="191"/>
      <c r="I23" s="191"/>
      <c r="J23" s="191"/>
      <c r="K23" s="191"/>
      <c r="L23" s="191"/>
      <c r="M23" s="191"/>
      <c r="N23" s="191"/>
      <c r="O23" s="124"/>
      <c r="P23" s="119"/>
    </row>
    <row r="24" spans="1:17" x14ac:dyDescent="0.25">
      <c r="A24" s="119"/>
      <c r="B24" s="119"/>
      <c r="C24" s="124"/>
      <c r="D24" s="191"/>
      <c r="E24" s="191"/>
      <c r="F24" s="191"/>
      <c r="G24" s="191"/>
      <c r="H24" s="191"/>
      <c r="I24" s="191"/>
      <c r="J24" s="191"/>
      <c r="K24" s="191"/>
      <c r="L24" s="191"/>
      <c r="M24" s="191"/>
      <c r="N24" s="191"/>
      <c r="O24" s="124"/>
      <c r="P24" s="119"/>
    </row>
    <row r="25" spans="1:17" x14ac:dyDescent="0.25">
      <c r="A25" s="119"/>
      <c r="B25" s="119"/>
      <c r="C25" s="124"/>
      <c r="D25" s="191"/>
      <c r="E25" s="191"/>
      <c r="F25" s="191"/>
      <c r="G25" s="191"/>
      <c r="H25" s="191"/>
      <c r="I25" s="191"/>
      <c r="J25" s="191"/>
      <c r="K25" s="191"/>
      <c r="L25" s="191"/>
      <c r="M25" s="191"/>
      <c r="N25" s="191"/>
      <c r="O25" s="124"/>
      <c r="P25" s="119"/>
    </row>
    <row r="26" spans="1:17" ht="15" customHeight="1" x14ac:dyDescent="0.25">
      <c r="A26" s="119"/>
      <c r="B26" s="119"/>
      <c r="C26" s="125" t="s">
        <v>188</v>
      </c>
      <c r="D26" s="191" t="s">
        <v>269</v>
      </c>
      <c r="E26" s="191"/>
      <c r="F26" s="191"/>
      <c r="G26" s="191"/>
      <c r="H26" s="191"/>
      <c r="I26" s="191"/>
      <c r="J26" s="191"/>
      <c r="K26" s="191"/>
      <c r="L26" s="191"/>
      <c r="M26" s="191"/>
      <c r="N26" s="191"/>
      <c r="O26" s="119"/>
      <c r="P26" s="119"/>
      <c r="Q26" s="127"/>
    </row>
    <row r="27" spans="1:17" ht="30" customHeight="1" x14ac:dyDescent="0.25">
      <c r="A27" s="119"/>
      <c r="B27" s="119"/>
      <c r="C27" s="121" t="s">
        <v>188</v>
      </c>
      <c r="D27" s="205" t="s">
        <v>290</v>
      </c>
      <c r="E27" s="205"/>
      <c r="F27" s="205"/>
      <c r="G27" s="205"/>
      <c r="H27" s="205"/>
      <c r="I27" s="205"/>
      <c r="J27" s="205"/>
      <c r="K27" s="205"/>
      <c r="L27" s="205"/>
      <c r="M27" s="205"/>
      <c r="N27" s="205"/>
      <c r="O27" s="119"/>
      <c r="P27" s="119"/>
      <c r="Q27" s="127"/>
    </row>
    <row r="28" spans="1:17" x14ac:dyDescent="0.25">
      <c r="A28" s="119"/>
      <c r="B28" s="128"/>
      <c r="C28" s="125" t="s">
        <v>188</v>
      </c>
      <c r="D28" s="190" t="s">
        <v>287</v>
      </c>
      <c r="E28" s="190"/>
      <c r="F28" s="190"/>
      <c r="G28" s="190"/>
      <c r="H28" s="190"/>
      <c r="I28" s="190"/>
      <c r="J28" s="190"/>
      <c r="K28" s="190"/>
      <c r="L28" s="190"/>
      <c r="M28" s="190"/>
      <c r="N28" s="190"/>
      <c r="O28" s="128"/>
      <c r="P28" s="128"/>
      <c r="Q28" s="127"/>
    </row>
    <row r="29" spans="1:17" x14ac:dyDescent="0.25">
      <c r="A29" s="119"/>
      <c r="B29" s="128"/>
      <c r="C29" s="128"/>
      <c r="D29" s="128"/>
      <c r="E29" s="125"/>
      <c r="F29" s="129"/>
      <c r="G29" s="129"/>
      <c r="H29" s="129"/>
      <c r="I29" s="129"/>
      <c r="J29" s="129"/>
      <c r="K29" s="129"/>
      <c r="L29" s="129"/>
      <c r="M29" s="129"/>
      <c r="N29" s="129"/>
      <c r="O29" s="128"/>
      <c r="P29" s="128"/>
      <c r="Q29" s="127"/>
    </row>
    <row r="30" spans="1:17" ht="15.75" thickBot="1" x14ac:dyDescent="0.3">
      <c r="A30" s="128"/>
      <c r="B30" s="130"/>
      <c r="C30" s="130"/>
      <c r="D30" s="130"/>
      <c r="E30" s="130"/>
      <c r="F30" s="131"/>
      <c r="G30" s="132"/>
      <c r="H30" s="132"/>
      <c r="I30" s="132"/>
      <c r="J30" s="132"/>
      <c r="K30" s="132"/>
      <c r="L30" s="130"/>
      <c r="M30" s="130"/>
      <c r="N30" s="130"/>
      <c r="O30" s="130"/>
      <c r="P30" s="128"/>
      <c r="Q30" s="127"/>
    </row>
    <row r="31" spans="1:17" x14ac:dyDescent="0.25">
      <c r="A31" s="128"/>
      <c r="B31" s="128"/>
      <c r="C31" s="128"/>
      <c r="D31" s="128"/>
      <c r="E31" s="128"/>
      <c r="F31" s="133"/>
      <c r="G31" s="134"/>
      <c r="H31" s="134"/>
      <c r="I31" s="134"/>
      <c r="J31" s="134"/>
      <c r="K31" s="134"/>
      <c r="L31" s="128"/>
      <c r="M31" s="128"/>
      <c r="N31" s="128"/>
      <c r="O31" s="128"/>
      <c r="P31" s="128"/>
      <c r="Q31" s="127"/>
    </row>
    <row r="32" spans="1:17" x14ac:dyDescent="0.25">
      <c r="A32" s="119"/>
      <c r="B32" s="184" t="s">
        <v>296</v>
      </c>
      <c r="C32" s="184"/>
      <c r="D32" s="184"/>
      <c r="E32" s="184"/>
      <c r="F32" s="184"/>
      <c r="G32" s="184"/>
      <c r="H32" s="184"/>
      <c r="I32" s="184"/>
      <c r="J32" s="128"/>
      <c r="K32" s="135"/>
      <c r="L32" s="128"/>
      <c r="M32" s="128"/>
      <c r="N32" s="128"/>
      <c r="O32" s="128"/>
      <c r="P32" s="128"/>
    </row>
    <row r="33" spans="1:16" x14ac:dyDescent="0.25">
      <c r="A33" s="119"/>
      <c r="B33" s="184"/>
      <c r="C33" s="184"/>
      <c r="D33" s="184"/>
      <c r="E33" s="184"/>
      <c r="F33" s="184"/>
      <c r="G33" s="184"/>
      <c r="H33" s="184"/>
      <c r="I33" s="184"/>
      <c r="J33" s="128"/>
      <c r="K33" s="135"/>
      <c r="L33" s="128"/>
      <c r="M33" s="128"/>
      <c r="N33" s="128"/>
      <c r="O33" s="128"/>
      <c r="P33" s="128"/>
    </row>
    <row r="34" spans="1:16" x14ac:dyDescent="0.25">
      <c r="A34" s="119"/>
      <c r="B34" s="179"/>
      <c r="C34" s="179"/>
      <c r="D34" s="179"/>
      <c r="E34" s="179"/>
      <c r="F34" s="179"/>
      <c r="G34" s="179"/>
      <c r="H34" s="179"/>
      <c r="I34" s="179"/>
      <c r="J34" s="128"/>
      <c r="K34" s="135"/>
      <c r="L34" s="128"/>
      <c r="M34" s="128"/>
      <c r="N34" s="128"/>
      <c r="O34" s="128"/>
      <c r="P34" s="128"/>
    </row>
    <row r="35" spans="1:16" x14ac:dyDescent="0.25">
      <c r="A35" s="197" t="s">
        <v>265</v>
      </c>
      <c r="B35" s="199"/>
      <c r="C35" s="199"/>
      <c r="D35" s="200"/>
      <c r="E35" s="201"/>
      <c r="F35" s="201"/>
      <c r="G35" s="201"/>
      <c r="H35" s="202"/>
      <c r="I35" s="119"/>
      <c r="J35" s="128"/>
      <c r="K35" s="203" t="s">
        <v>266</v>
      </c>
      <c r="L35" s="204"/>
      <c r="M35" s="204"/>
      <c r="N35" s="204"/>
      <c r="O35" s="204"/>
      <c r="P35" s="204"/>
    </row>
    <row r="36" spans="1:16" x14ac:dyDescent="0.25">
      <c r="A36" s="197" t="s">
        <v>263</v>
      </c>
      <c r="B36" s="197"/>
      <c r="C36" s="197"/>
      <c r="D36" s="196"/>
      <c r="E36" s="196"/>
      <c r="F36" s="196"/>
      <c r="G36" s="196"/>
      <c r="H36" s="196"/>
      <c r="I36" s="119"/>
      <c r="J36" s="128"/>
      <c r="K36" s="220"/>
      <c r="L36" s="198" t="s">
        <v>101</v>
      </c>
      <c r="M36" s="198" t="s">
        <v>104</v>
      </c>
      <c r="N36" s="198" t="s">
        <v>226</v>
      </c>
      <c r="O36" s="198" t="s">
        <v>105</v>
      </c>
      <c r="P36" s="136"/>
    </row>
    <row r="37" spans="1:16" ht="15" customHeight="1" x14ac:dyDescent="0.25">
      <c r="A37" s="197" t="s">
        <v>256</v>
      </c>
      <c r="B37" s="197"/>
      <c r="C37" s="197"/>
      <c r="D37" s="196"/>
      <c r="E37" s="196"/>
      <c r="F37" s="196"/>
      <c r="G37" s="196"/>
      <c r="H37" s="196"/>
      <c r="I37" s="119"/>
      <c r="J37" s="128"/>
      <c r="K37" s="220"/>
      <c r="L37" s="198"/>
      <c r="M37" s="198"/>
      <c r="N37" s="198"/>
      <c r="O37" s="198"/>
      <c r="P37" s="136"/>
    </row>
    <row r="38" spans="1:16" x14ac:dyDescent="0.25">
      <c r="A38" s="197" t="s">
        <v>257</v>
      </c>
      <c r="B38" s="197"/>
      <c r="C38" s="197"/>
      <c r="D38" s="196"/>
      <c r="E38" s="196"/>
      <c r="F38" s="196"/>
      <c r="G38" s="196"/>
      <c r="H38" s="196"/>
      <c r="I38" s="119"/>
      <c r="J38" s="128"/>
      <c r="K38" s="220"/>
      <c r="L38" s="198"/>
      <c r="M38" s="198"/>
      <c r="N38" s="198"/>
      <c r="O38" s="198"/>
      <c r="P38" s="136"/>
    </row>
    <row r="39" spans="1:16" ht="15" customHeight="1" x14ac:dyDescent="0.25">
      <c r="A39" s="197" t="s">
        <v>258</v>
      </c>
      <c r="B39" s="197"/>
      <c r="C39" s="197"/>
      <c r="D39" s="196"/>
      <c r="E39" s="196"/>
      <c r="F39" s="196"/>
      <c r="G39" s="196"/>
      <c r="H39" s="196"/>
      <c r="I39" s="119"/>
      <c r="J39" s="128"/>
      <c r="K39" s="137" t="s">
        <v>175</v>
      </c>
      <c r="L39" s="180">
        <f>SUM(L40:L51)</f>
        <v>0</v>
      </c>
      <c r="M39" s="180">
        <f t="shared" ref="M39:O39" si="0">SUM(M40:M51)</f>
        <v>0</v>
      </c>
      <c r="N39" s="180">
        <f t="shared" si="0"/>
        <v>0</v>
      </c>
      <c r="O39" s="180">
        <f t="shared" si="0"/>
        <v>0</v>
      </c>
      <c r="P39" s="138"/>
    </row>
    <row r="40" spans="1:16" ht="15" customHeight="1" x14ac:dyDescent="0.25">
      <c r="A40" s="208" t="s">
        <v>259</v>
      </c>
      <c r="B40" s="208"/>
      <c r="C40" s="209"/>
      <c r="D40" s="196"/>
      <c r="E40" s="196"/>
      <c r="F40" s="196"/>
      <c r="G40" s="196"/>
      <c r="H40" s="196"/>
      <c r="I40" s="119"/>
      <c r="J40" s="128"/>
      <c r="K40" s="137" t="s">
        <v>176</v>
      </c>
      <c r="L40" s="181">
        <f>January!J14</f>
        <v>0</v>
      </c>
      <c r="M40" s="181">
        <f>January!J33</f>
        <v>0</v>
      </c>
      <c r="N40" s="181">
        <f>January!J34</f>
        <v>0</v>
      </c>
      <c r="O40" s="181">
        <f>January!J48</f>
        <v>0</v>
      </c>
      <c r="P40" s="138"/>
    </row>
    <row r="41" spans="1:16" ht="15" customHeight="1" x14ac:dyDescent="0.25">
      <c r="A41" s="208"/>
      <c r="B41" s="208"/>
      <c r="C41" s="209"/>
      <c r="D41" s="196"/>
      <c r="E41" s="196"/>
      <c r="F41" s="196"/>
      <c r="G41" s="196"/>
      <c r="H41" s="196"/>
      <c r="I41" s="119"/>
      <c r="J41" s="128"/>
      <c r="K41" s="137" t="s">
        <v>177</v>
      </c>
      <c r="L41" s="181">
        <f>February!J14</f>
        <v>0</v>
      </c>
      <c r="M41" s="181">
        <f>February!J33</f>
        <v>0</v>
      </c>
      <c r="N41" s="181">
        <f>February!J34</f>
        <v>0</v>
      </c>
      <c r="O41" s="181">
        <f>February!J48</f>
        <v>0</v>
      </c>
      <c r="P41" s="138"/>
    </row>
    <row r="42" spans="1:16" x14ac:dyDescent="0.25">
      <c r="A42" s="197" t="s">
        <v>260</v>
      </c>
      <c r="B42" s="197"/>
      <c r="C42" s="197"/>
      <c r="D42" s="196"/>
      <c r="E42" s="196"/>
      <c r="F42" s="196"/>
      <c r="G42" s="196"/>
      <c r="H42" s="196"/>
      <c r="I42" s="119"/>
      <c r="J42" s="128"/>
      <c r="K42" s="137" t="s">
        <v>178</v>
      </c>
      <c r="L42" s="181">
        <f>March!J14</f>
        <v>0</v>
      </c>
      <c r="M42" s="181">
        <f>March!J33</f>
        <v>0</v>
      </c>
      <c r="N42" s="181">
        <f>March!J34</f>
        <v>0</v>
      </c>
      <c r="O42" s="181">
        <f>March!J48</f>
        <v>0</v>
      </c>
      <c r="P42" s="138"/>
    </row>
    <row r="43" spans="1:16" ht="15" customHeight="1" x14ac:dyDescent="0.25">
      <c r="A43" s="206" t="s">
        <v>264</v>
      </c>
      <c r="B43" s="206"/>
      <c r="C43" s="210"/>
      <c r="D43" s="211"/>
      <c r="E43" s="212"/>
      <c r="F43" s="212"/>
      <c r="G43" s="212"/>
      <c r="H43" s="213"/>
      <c r="I43" s="119"/>
      <c r="J43" s="119"/>
      <c r="K43" s="137" t="s">
        <v>179</v>
      </c>
      <c r="L43" s="181">
        <f>April!J14</f>
        <v>0</v>
      </c>
      <c r="M43" s="181">
        <f>April!J33</f>
        <v>0</v>
      </c>
      <c r="N43" s="181">
        <f>April!J34</f>
        <v>0</v>
      </c>
      <c r="O43" s="181">
        <f>April!J48</f>
        <v>0</v>
      </c>
      <c r="P43" s="138"/>
    </row>
    <row r="44" spans="1:16" x14ac:dyDescent="0.25">
      <c r="A44" s="206"/>
      <c r="B44" s="206"/>
      <c r="C44" s="210"/>
      <c r="D44" s="214"/>
      <c r="E44" s="215"/>
      <c r="F44" s="215"/>
      <c r="G44" s="215"/>
      <c r="H44" s="216"/>
      <c r="I44" s="119"/>
      <c r="J44" s="128"/>
      <c r="K44" s="137" t="s">
        <v>115</v>
      </c>
      <c r="L44" s="181">
        <f>May!J14</f>
        <v>0</v>
      </c>
      <c r="M44" s="181">
        <f>May!J33</f>
        <v>0</v>
      </c>
      <c r="N44" s="181">
        <f>May!J34</f>
        <v>0</v>
      </c>
      <c r="O44" s="181">
        <f>May!J48</f>
        <v>0</v>
      </c>
      <c r="P44" s="138"/>
    </row>
    <row r="45" spans="1:16" ht="15" customHeight="1" x14ac:dyDescent="0.25">
      <c r="A45" s="206"/>
      <c r="B45" s="206"/>
      <c r="C45" s="210"/>
      <c r="D45" s="217"/>
      <c r="E45" s="218"/>
      <c r="F45" s="218"/>
      <c r="G45" s="218"/>
      <c r="H45" s="219"/>
      <c r="I45" s="119"/>
      <c r="J45" s="128"/>
      <c r="K45" s="137" t="s">
        <v>116</v>
      </c>
      <c r="L45" s="181">
        <f>June!J14</f>
        <v>0</v>
      </c>
      <c r="M45" s="181">
        <f>June!J33</f>
        <v>0</v>
      </c>
      <c r="N45" s="181">
        <f>June!J34</f>
        <v>0</v>
      </c>
      <c r="O45" s="181">
        <f>June!J48</f>
        <v>0</v>
      </c>
      <c r="P45" s="138"/>
    </row>
    <row r="46" spans="1:16" x14ac:dyDescent="0.25">
      <c r="A46" s="206" t="s">
        <v>261</v>
      </c>
      <c r="B46" s="206"/>
      <c r="C46" s="210"/>
      <c r="D46" s="211"/>
      <c r="E46" s="212"/>
      <c r="F46" s="212"/>
      <c r="G46" s="212"/>
      <c r="H46" s="213"/>
      <c r="I46" s="119"/>
      <c r="J46" s="128"/>
      <c r="K46" s="137" t="s">
        <v>117</v>
      </c>
      <c r="L46" s="181">
        <f>July!J14</f>
        <v>0</v>
      </c>
      <c r="M46" s="181">
        <f>July!J33</f>
        <v>0</v>
      </c>
      <c r="N46" s="181">
        <f>July!J34</f>
        <v>0</v>
      </c>
      <c r="O46" s="181">
        <f>July!J48</f>
        <v>0</v>
      </c>
      <c r="P46" s="138"/>
    </row>
    <row r="47" spans="1:16" x14ac:dyDescent="0.25">
      <c r="A47" s="206"/>
      <c r="B47" s="206"/>
      <c r="C47" s="210"/>
      <c r="D47" s="214"/>
      <c r="E47" s="215"/>
      <c r="F47" s="215"/>
      <c r="G47" s="215"/>
      <c r="H47" s="216"/>
      <c r="I47" s="119"/>
      <c r="J47" s="128"/>
      <c r="K47" s="137" t="s">
        <v>180</v>
      </c>
      <c r="L47" s="181">
        <f>August!J14</f>
        <v>0</v>
      </c>
      <c r="M47" s="181">
        <f>August!J33</f>
        <v>0</v>
      </c>
      <c r="N47" s="181">
        <f>August!J34</f>
        <v>0</v>
      </c>
      <c r="O47" s="181">
        <f>August!J48</f>
        <v>0</v>
      </c>
      <c r="P47" s="138"/>
    </row>
    <row r="48" spans="1:16" ht="15" customHeight="1" x14ac:dyDescent="0.25">
      <c r="A48" s="206"/>
      <c r="B48" s="206"/>
      <c r="C48" s="210"/>
      <c r="D48" s="217"/>
      <c r="E48" s="218"/>
      <c r="F48" s="218"/>
      <c r="G48" s="218"/>
      <c r="H48" s="219"/>
      <c r="I48" s="119"/>
      <c r="J48" s="128"/>
      <c r="K48" s="137" t="s">
        <v>181</v>
      </c>
      <c r="L48" s="181">
        <f>September!J14</f>
        <v>0</v>
      </c>
      <c r="M48" s="181">
        <f>September!J33</f>
        <v>0</v>
      </c>
      <c r="N48" s="181">
        <f>September!J34</f>
        <v>0</v>
      </c>
      <c r="O48" s="181">
        <f>September!J48</f>
        <v>0</v>
      </c>
      <c r="P48" s="138"/>
    </row>
    <row r="49" spans="1:17" x14ac:dyDescent="0.25">
      <c r="A49" s="206" t="s">
        <v>262</v>
      </c>
      <c r="B49" s="206"/>
      <c r="C49" s="206"/>
      <c r="D49" s="139"/>
      <c r="E49" s="139"/>
      <c r="F49" s="139"/>
      <c r="G49" s="139"/>
      <c r="H49" s="139"/>
      <c r="I49" s="119"/>
      <c r="J49" s="128"/>
      <c r="K49" s="137" t="s">
        <v>182</v>
      </c>
      <c r="L49" s="181">
        <f>October!J14</f>
        <v>0</v>
      </c>
      <c r="M49" s="181">
        <f>October!J33</f>
        <v>0</v>
      </c>
      <c r="N49" s="181">
        <f>October!J34</f>
        <v>0</v>
      </c>
      <c r="O49" s="181">
        <f>October!J48</f>
        <v>0</v>
      </c>
      <c r="P49" s="138"/>
    </row>
    <row r="50" spans="1:17" x14ac:dyDescent="0.25">
      <c r="A50" s="206"/>
      <c r="B50" s="206"/>
      <c r="C50" s="206"/>
      <c r="D50" s="139"/>
      <c r="E50" s="139"/>
      <c r="F50" s="139"/>
      <c r="G50" s="139"/>
      <c r="H50" s="139"/>
      <c r="I50" s="119"/>
      <c r="J50" s="128"/>
      <c r="K50" s="137" t="s">
        <v>183</v>
      </c>
      <c r="L50" s="181">
        <f>November!J14</f>
        <v>0</v>
      </c>
      <c r="M50" s="181">
        <f>November!J33</f>
        <v>0</v>
      </c>
      <c r="N50" s="181">
        <f>November!J34</f>
        <v>0</v>
      </c>
      <c r="O50" s="181">
        <f>November!J48</f>
        <v>0</v>
      </c>
      <c r="P50" s="138"/>
    </row>
    <row r="51" spans="1:17" ht="15" customHeight="1" x14ac:dyDescent="0.25">
      <c r="A51" s="140"/>
      <c r="B51" s="140"/>
      <c r="C51" s="140"/>
      <c r="D51" s="141"/>
      <c r="E51" s="141"/>
      <c r="F51" s="141"/>
      <c r="G51" s="141"/>
      <c r="H51" s="141"/>
      <c r="I51" s="119"/>
      <c r="J51" s="128"/>
      <c r="K51" s="137" t="s">
        <v>184</v>
      </c>
      <c r="L51" s="181">
        <f>December!J14</f>
        <v>0</v>
      </c>
      <c r="M51" s="181">
        <f>December!J33</f>
        <v>0</v>
      </c>
      <c r="N51" s="181">
        <f>December!J34</f>
        <v>0</v>
      </c>
      <c r="O51" s="181">
        <f>December!J48</f>
        <v>0</v>
      </c>
      <c r="P51" s="138"/>
    </row>
    <row r="52" spans="1:17" x14ac:dyDescent="0.25">
      <c r="A52" s="207"/>
      <c r="B52" s="207"/>
      <c r="C52" s="207"/>
      <c r="D52" s="119"/>
      <c r="E52" s="119"/>
      <c r="F52" s="119"/>
      <c r="G52" s="119"/>
      <c r="H52" s="119"/>
      <c r="I52" s="119"/>
      <c r="J52" s="128"/>
      <c r="K52" s="135"/>
      <c r="L52" s="128"/>
      <c r="M52" s="128"/>
      <c r="N52" s="128"/>
      <c r="O52" s="128"/>
      <c r="P52" s="128"/>
    </row>
    <row r="53" spans="1:17" x14ac:dyDescent="0.25">
      <c r="A53" s="142"/>
      <c r="B53" s="142"/>
      <c r="C53" s="142"/>
      <c r="D53" s="119"/>
      <c r="E53" s="119"/>
      <c r="F53" s="119"/>
      <c r="G53" s="119"/>
      <c r="H53" s="119"/>
      <c r="I53" s="119"/>
      <c r="J53" s="128"/>
      <c r="K53" s="135"/>
      <c r="L53" s="128"/>
      <c r="M53" s="128"/>
      <c r="N53" s="128"/>
      <c r="O53" s="128"/>
      <c r="P53" s="128"/>
    </row>
    <row r="54" spans="1:17" x14ac:dyDescent="0.25">
      <c r="A54" s="142"/>
      <c r="B54" s="142"/>
      <c r="C54" s="142"/>
      <c r="D54" s="119"/>
      <c r="E54" s="119"/>
      <c r="F54" s="119"/>
      <c r="G54" s="119"/>
      <c r="H54" s="119"/>
      <c r="I54" s="119"/>
      <c r="J54" s="128"/>
      <c r="K54" s="135"/>
      <c r="L54" s="128"/>
      <c r="M54" s="128"/>
      <c r="N54" s="128"/>
      <c r="O54" s="128"/>
      <c r="P54" s="128"/>
    </row>
    <row r="55" spans="1:17" x14ac:dyDescent="0.25">
      <c r="A55" s="119"/>
      <c r="B55" s="119"/>
      <c r="C55" s="119"/>
      <c r="D55" s="119"/>
      <c r="E55" s="119"/>
      <c r="F55" s="119"/>
      <c r="G55" s="119"/>
      <c r="H55" s="119"/>
      <c r="I55" s="119"/>
      <c r="J55" s="128"/>
      <c r="K55" s="135"/>
      <c r="L55" s="128"/>
      <c r="M55" s="128"/>
      <c r="N55" s="128"/>
      <c r="O55" s="128"/>
      <c r="P55" s="128"/>
    </row>
    <row r="56" spans="1:17" x14ac:dyDescent="0.25">
      <c r="A56" s="119"/>
      <c r="B56" s="119"/>
      <c r="C56" s="119"/>
      <c r="D56" s="119"/>
      <c r="E56" s="119"/>
      <c r="F56" s="119"/>
      <c r="G56" s="119"/>
      <c r="H56" s="119"/>
      <c r="I56" s="119"/>
      <c r="J56" s="128"/>
      <c r="K56" s="135"/>
      <c r="L56" s="128"/>
      <c r="M56" s="128"/>
      <c r="N56" s="128"/>
      <c r="O56" s="128"/>
      <c r="P56" s="128"/>
    </row>
    <row r="57" spans="1:17" x14ac:dyDescent="0.25">
      <c r="A57" s="119"/>
      <c r="B57" s="119"/>
      <c r="C57" s="119"/>
      <c r="D57" s="119"/>
      <c r="E57" s="119"/>
      <c r="F57" s="119"/>
      <c r="G57" s="119"/>
      <c r="H57" s="119"/>
      <c r="I57" s="119"/>
      <c r="J57" s="128"/>
      <c r="K57" s="119"/>
      <c r="L57" s="119"/>
      <c r="M57" s="119"/>
      <c r="N57" s="119"/>
      <c r="O57" s="119"/>
      <c r="P57" s="119"/>
      <c r="Q57" s="127"/>
    </row>
  </sheetData>
  <mergeCells count="47">
    <mergeCell ref="M36:M38"/>
    <mergeCell ref="A49:C50"/>
    <mergeCell ref="A52:C52"/>
    <mergeCell ref="A40:C41"/>
    <mergeCell ref="D41:H41"/>
    <mergeCell ref="D40:H40"/>
    <mergeCell ref="A46:C48"/>
    <mergeCell ref="D43:H45"/>
    <mergeCell ref="A43:C45"/>
    <mergeCell ref="D46:H48"/>
    <mergeCell ref="A42:C42"/>
    <mergeCell ref="D42:H42"/>
    <mergeCell ref="D39:H39"/>
    <mergeCell ref="A39:C39"/>
    <mergeCell ref="K36:K38"/>
    <mergeCell ref="A1:P1"/>
    <mergeCell ref="D36:H36"/>
    <mergeCell ref="D37:H37"/>
    <mergeCell ref="D38:H38"/>
    <mergeCell ref="A38:C38"/>
    <mergeCell ref="A37:C37"/>
    <mergeCell ref="A36:C36"/>
    <mergeCell ref="N36:N38"/>
    <mergeCell ref="O36:O38"/>
    <mergeCell ref="D5:N5"/>
    <mergeCell ref="A35:C35"/>
    <mergeCell ref="D35:H35"/>
    <mergeCell ref="K35:P35"/>
    <mergeCell ref="D4:N4"/>
    <mergeCell ref="D27:N27"/>
    <mergeCell ref="L36:L38"/>
    <mergeCell ref="D8:N9"/>
    <mergeCell ref="D7:N7"/>
    <mergeCell ref="D6:N6"/>
    <mergeCell ref="B32:I33"/>
    <mergeCell ref="D18:N18"/>
    <mergeCell ref="D16:N17"/>
    <mergeCell ref="D13:N13"/>
    <mergeCell ref="D12:N12"/>
    <mergeCell ref="D10:N10"/>
    <mergeCell ref="D28:N28"/>
    <mergeCell ref="D26:N26"/>
    <mergeCell ref="D23:N25"/>
    <mergeCell ref="D22:N22"/>
    <mergeCell ref="D19:N21"/>
    <mergeCell ref="D15:N15"/>
    <mergeCell ref="D14:J14"/>
  </mergeCells>
  <hyperlinks>
    <hyperlink ref="D10" r:id="rId1" xr:uid="{B9B7D895-65D2-4080-BE58-4544D91ED6AC}"/>
  </hyperlinks>
  <pageMargins left="0.7" right="0.7" top="0.75" bottom="0.75" header="0.3" footer="0.3"/>
  <pageSetup orientation="portrait" r:id="rId2"/>
  <drawing r:id="rId3"/>
  <legacyDrawing r:id="rId4"/>
  <controls>
    <mc:AlternateContent xmlns:mc="http://schemas.openxmlformats.org/markup-compatibility/2006">
      <mc:Choice Requires="x14">
        <control shapeId="3084" r:id="rId5" name="CommandButton1">
          <controlPr defaultSize="0" autoLine="0" r:id="rId6">
            <anchor moveWithCells="1">
              <from>
                <xdr:col>3</xdr:col>
                <xdr:colOff>57150</xdr:colOff>
                <xdr:row>48</xdr:row>
                <xdr:rowOff>38100</xdr:rowOff>
              </from>
              <to>
                <xdr:col>4</xdr:col>
                <xdr:colOff>152400</xdr:colOff>
                <xdr:row>49</xdr:row>
                <xdr:rowOff>161925</xdr:rowOff>
              </to>
            </anchor>
          </controlPr>
        </control>
      </mc:Choice>
      <mc:Fallback>
        <control shapeId="3084" r:id="rId5" name="CommandButton1"/>
      </mc:Fallback>
    </mc:AlternateContent>
    <mc:AlternateContent xmlns:mc="http://schemas.openxmlformats.org/markup-compatibility/2006">
      <mc:Choice Requires="x14">
        <control shapeId="3085" r:id="rId7" name="CommandButton2">
          <controlPr defaultSize="0" autoLine="0" r:id="rId8">
            <anchor moveWithCells="1">
              <from>
                <xdr:col>4</xdr:col>
                <xdr:colOff>190500</xdr:colOff>
                <xdr:row>48</xdr:row>
                <xdr:rowOff>38100</xdr:rowOff>
              </from>
              <to>
                <xdr:col>5</xdr:col>
                <xdr:colOff>285750</xdr:colOff>
                <xdr:row>49</xdr:row>
                <xdr:rowOff>171450</xdr:rowOff>
              </to>
            </anchor>
          </controlPr>
        </control>
      </mc:Choice>
      <mc:Fallback>
        <control shapeId="3085" r:id="rId7" name="CommandButton2"/>
      </mc:Fallback>
    </mc:AlternateContent>
    <mc:AlternateContent xmlns:mc="http://schemas.openxmlformats.org/markup-compatibility/2006">
      <mc:Choice Requires="x14">
        <control shapeId="3086" r:id="rId9" name="CommandButton3">
          <controlPr defaultSize="0" autoLine="0" r:id="rId10">
            <anchor moveWithCells="1">
              <from>
                <xdr:col>5</xdr:col>
                <xdr:colOff>333375</xdr:colOff>
                <xdr:row>48</xdr:row>
                <xdr:rowOff>38100</xdr:rowOff>
              </from>
              <to>
                <xdr:col>6</xdr:col>
                <xdr:colOff>428625</xdr:colOff>
                <xdr:row>49</xdr:row>
                <xdr:rowOff>171450</xdr:rowOff>
              </to>
            </anchor>
          </controlPr>
        </control>
      </mc:Choice>
      <mc:Fallback>
        <control shapeId="3086" r:id="rId9" name="CommandButton3"/>
      </mc:Fallback>
    </mc:AlternateContent>
    <mc:AlternateContent xmlns:mc="http://schemas.openxmlformats.org/markup-compatibility/2006">
      <mc:Choice Requires="x14">
        <control shapeId="3087" r:id="rId11" name="CommandButton4">
          <controlPr defaultSize="0" autoLine="0" r:id="rId12">
            <anchor moveWithCells="1">
              <from>
                <xdr:col>6</xdr:col>
                <xdr:colOff>476250</xdr:colOff>
                <xdr:row>48</xdr:row>
                <xdr:rowOff>38100</xdr:rowOff>
              </from>
              <to>
                <xdr:col>7</xdr:col>
                <xdr:colOff>571500</xdr:colOff>
                <xdr:row>49</xdr:row>
                <xdr:rowOff>171450</xdr:rowOff>
              </to>
            </anchor>
          </controlPr>
        </control>
      </mc:Choice>
      <mc:Fallback>
        <control shapeId="3087" r:id="rId11" name="CommandButton4"/>
      </mc:Fallback>
    </mc:AlternateContent>
    <mc:AlternateContent xmlns:mc="http://schemas.openxmlformats.org/markup-compatibility/2006">
      <mc:Choice Requires="x14">
        <control shapeId="3088" r:id="rId13" name="CommandButton5">
          <controlPr defaultSize="0" autoLine="0" r:id="rId14">
            <anchor moveWithCells="1">
              <from>
                <xdr:col>3</xdr:col>
                <xdr:colOff>47625</xdr:colOff>
                <xdr:row>50</xdr:row>
                <xdr:rowOff>19050</xdr:rowOff>
              </from>
              <to>
                <xdr:col>4</xdr:col>
                <xdr:colOff>142875</xdr:colOff>
                <xdr:row>51</xdr:row>
                <xdr:rowOff>152400</xdr:rowOff>
              </to>
            </anchor>
          </controlPr>
        </control>
      </mc:Choice>
      <mc:Fallback>
        <control shapeId="3088" r:id="rId13" name="CommandButton5"/>
      </mc:Fallback>
    </mc:AlternateContent>
    <mc:AlternateContent xmlns:mc="http://schemas.openxmlformats.org/markup-compatibility/2006">
      <mc:Choice Requires="x14">
        <control shapeId="3089" r:id="rId15" name="CommandButton6">
          <controlPr defaultSize="0" autoLine="0" r:id="rId16">
            <anchor moveWithCells="1">
              <from>
                <xdr:col>4</xdr:col>
                <xdr:colOff>190500</xdr:colOff>
                <xdr:row>50</xdr:row>
                <xdr:rowOff>19050</xdr:rowOff>
              </from>
              <to>
                <xdr:col>5</xdr:col>
                <xdr:colOff>285750</xdr:colOff>
                <xdr:row>51</xdr:row>
                <xdr:rowOff>152400</xdr:rowOff>
              </to>
            </anchor>
          </controlPr>
        </control>
      </mc:Choice>
      <mc:Fallback>
        <control shapeId="3089" r:id="rId15" name="CommandButton6"/>
      </mc:Fallback>
    </mc:AlternateContent>
    <mc:AlternateContent xmlns:mc="http://schemas.openxmlformats.org/markup-compatibility/2006">
      <mc:Choice Requires="x14">
        <control shapeId="3090" r:id="rId17" name="CommandButton7">
          <controlPr defaultSize="0" autoLine="0" r:id="rId18">
            <anchor moveWithCells="1">
              <from>
                <xdr:col>5</xdr:col>
                <xdr:colOff>333375</xdr:colOff>
                <xdr:row>50</xdr:row>
                <xdr:rowOff>19050</xdr:rowOff>
              </from>
              <to>
                <xdr:col>6</xdr:col>
                <xdr:colOff>428625</xdr:colOff>
                <xdr:row>51</xdr:row>
                <xdr:rowOff>152400</xdr:rowOff>
              </to>
            </anchor>
          </controlPr>
        </control>
      </mc:Choice>
      <mc:Fallback>
        <control shapeId="3090" r:id="rId17" name="CommandButton7"/>
      </mc:Fallback>
    </mc:AlternateContent>
    <mc:AlternateContent xmlns:mc="http://schemas.openxmlformats.org/markup-compatibility/2006">
      <mc:Choice Requires="x14">
        <control shapeId="3091" r:id="rId19" name="CommandButton8">
          <controlPr defaultSize="0" autoLine="0" r:id="rId20">
            <anchor moveWithCells="1">
              <from>
                <xdr:col>6</xdr:col>
                <xdr:colOff>476250</xdr:colOff>
                <xdr:row>50</xdr:row>
                <xdr:rowOff>19050</xdr:rowOff>
              </from>
              <to>
                <xdr:col>7</xdr:col>
                <xdr:colOff>571500</xdr:colOff>
                <xdr:row>51</xdr:row>
                <xdr:rowOff>152400</xdr:rowOff>
              </to>
            </anchor>
          </controlPr>
        </control>
      </mc:Choice>
      <mc:Fallback>
        <control shapeId="3091" r:id="rId19" name="CommandButton8"/>
      </mc:Fallback>
    </mc:AlternateContent>
    <mc:AlternateContent xmlns:mc="http://schemas.openxmlformats.org/markup-compatibility/2006">
      <mc:Choice Requires="x14">
        <control shapeId="3092" r:id="rId21" name="CommandButton9">
          <controlPr defaultSize="0" autoLine="0" r:id="rId22">
            <anchor moveWithCells="1">
              <from>
                <xdr:col>3</xdr:col>
                <xdr:colOff>47625</xdr:colOff>
                <xdr:row>52</xdr:row>
                <xdr:rowOff>0</xdr:rowOff>
              </from>
              <to>
                <xdr:col>4</xdr:col>
                <xdr:colOff>142875</xdr:colOff>
                <xdr:row>53</xdr:row>
                <xdr:rowOff>133350</xdr:rowOff>
              </to>
            </anchor>
          </controlPr>
        </control>
      </mc:Choice>
      <mc:Fallback>
        <control shapeId="3092" r:id="rId21" name="CommandButton9"/>
      </mc:Fallback>
    </mc:AlternateContent>
    <mc:AlternateContent xmlns:mc="http://schemas.openxmlformats.org/markup-compatibility/2006">
      <mc:Choice Requires="x14">
        <control shapeId="3093" r:id="rId23" name="CommandButton10">
          <controlPr defaultSize="0" autoLine="0" r:id="rId24">
            <anchor moveWithCells="1">
              <from>
                <xdr:col>6</xdr:col>
                <xdr:colOff>476250</xdr:colOff>
                <xdr:row>52</xdr:row>
                <xdr:rowOff>0</xdr:rowOff>
              </from>
              <to>
                <xdr:col>7</xdr:col>
                <xdr:colOff>571500</xdr:colOff>
                <xdr:row>53</xdr:row>
                <xdr:rowOff>133350</xdr:rowOff>
              </to>
            </anchor>
          </controlPr>
        </control>
      </mc:Choice>
      <mc:Fallback>
        <control shapeId="3093" r:id="rId23" name="CommandButton10"/>
      </mc:Fallback>
    </mc:AlternateContent>
    <mc:AlternateContent xmlns:mc="http://schemas.openxmlformats.org/markup-compatibility/2006">
      <mc:Choice Requires="x14">
        <control shapeId="3094" r:id="rId25" name="CommandButton11">
          <controlPr defaultSize="0" autoLine="0" r:id="rId26">
            <anchor moveWithCells="1">
              <from>
                <xdr:col>5</xdr:col>
                <xdr:colOff>333375</xdr:colOff>
                <xdr:row>52</xdr:row>
                <xdr:rowOff>0</xdr:rowOff>
              </from>
              <to>
                <xdr:col>6</xdr:col>
                <xdr:colOff>428625</xdr:colOff>
                <xdr:row>53</xdr:row>
                <xdr:rowOff>133350</xdr:rowOff>
              </to>
            </anchor>
          </controlPr>
        </control>
      </mc:Choice>
      <mc:Fallback>
        <control shapeId="3094" r:id="rId25" name="CommandButton11"/>
      </mc:Fallback>
    </mc:AlternateContent>
    <mc:AlternateContent xmlns:mc="http://schemas.openxmlformats.org/markup-compatibility/2006">
      <mc:Choice Requires="x14">
        <control shapeId="3095" r:id="rId27" name="CommandButton12">
          <controlPr defaultSize="0" autoLine="0" r:id="rId28">
            <anchor moveWithCells="1">
              <from>
                <xdr:col>4</xdr:col>
                <xdr:colOff>190500</xdr:colOff>
                <xdr:row>52</xdr:row>
                <xdr:rowOff>0</xdr:rowOff>
              </from>
              <to>
                <xdr:col>5</xdr:col>
                <xdr:colOff>285750</xdr:colOff>
                <xdr:row>53</xdr:row>
                <xdr:rowOff>133350</xdr:rowOff>
              </to>
            </anchor>
          </controlPr>
        </control>
      </mc:Choice>
      <mc:Fallback>
        <control shapeId="3095" r:id="rId27" name="CommandButton12"/>
      </mc:Fallback>
    </mc:AlternateContent>
    <mc:AlternateContent xmlns:mc="http://schemas.openxmlformats.org/markup-compatibility/2006">
      <mc:Choice Requires="x14">
        <control shapeId="3074" r:id="rId29" name="List Box 2">
          <controlPr defaultSize="0" autoLine="0" autoPict="0">
            <anchor moveWithCells="1">
              <from>
                <xdr:col>3</xdr:col>
                <xdr:colOff>0</xdr:colOff>
                <xdr:row>38</xdr:row>
                <xdr:rowOff>180975</xdr:rowOff>
              </from>
              <to>
                <xdr:col>7</xdr:col>
                <xdr:colOff>600075</xdr:colOff>
                <xdr:row>40</xdr:row>
                <xdr:rowOff>180975</xdr:rowOff>
              </to>
            </anchor>
          </controlPr>
        </control>
      </mc:Choice>
    </mc:AlternateContent>
    <mc:AlternateContent xmlns:mc="http://schemas.openxmlformats.org/markup-compatibility/2006">
      <mc:Choice Requires="x14">
        <control shapeId="3096" r:id="rId30" name="List Box 24">
          <controlPr defaultSize="0" autoLine="0" autoPict="0">
            <anchor moveWithCells="1">
              <from>
                <xdr:col>3</xdr:col>
                <xdr:colOff>0</xdr:colOff>
                <xdr:row>38</xdr:row>
                <xdr:rowOff>180975</xdr:rowOff>
              </from>
              <to>
                <xdr:col>7</xdr:col>
                <xdr:colOff>600075</xdr:colOff>
                <xdr:row>40</xdr:row>
                <xdr:rowOff>180975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63455160-47BC-438B-887B-E09127B3C32B}">
          <x14:formula1>
            <xm:f>Questions!$E$2:$E$51</xm:f>
          </x14:formula1>
          <xm:sqref>D39:H39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8F5EE-2D55-4F47-A1DB-5F20C1AA9EAA}">
  <sheetPr codeName="Sheet15">
    <tabColor rgb="FFFF5050"/>
  </sheetPr>
  <dimension ref="A1:D36"/>
  <sheetViews>
    <sheetView zoomScaleNormal="100" workbookViewId="0">
      <selection activeCell="A2" sqref="A2"/>
    </sheetView>
  </sheetViews>
  <sheetFormatPr defaultColWidth="9.140625" defaultRowHeight="15" x14ac:dyDescent="0.25"/>
  <cols>
    <col min="1" max="1" width="10.7109375" style="174" customWidth="1"/>
    <col min="2" max="2" width="85.5703125" style="175" customWidth="1"/>
    <col min="3" max="3" width="20.42578125" style="176" customWidth="1"/>
    <col min="4" max="4" width="20.42578125" style="143" customWidth="1"/>
    <col min="5" max="16384" width="9.140625" style="143"/>
  </cols>
  <sheetData>
    <row r="1" spans="1:4" ht="24" customHeight="1" thickTop="1" x14ac:dyDescent="0.25">
      <c r="A1" s="227" t="s">
        <v>229</v>
      </c>
      <c r="B1" s="228"/>
      <c r="C1" s="228"/>
      <c r="D1" s="228"/>
    </row>
    <row r="2" spans="1:4" ht="16.5" customHeight="1" x14ac:dyDescent="0.25">
      <c r="A2" s="144" t="s">
        <v>274</v>
      </c>
      <c r="B2" s="145" t="s">
        <v>275</v>
      </c>
      <c r="C2" s="146" t="s">
        <v>284</v>
      </c>
      <c r="D2" s="147" t="s">
        <v>285</v>
      </c>
    </row>
    <row r="3" spans="1:4" ht="16.5" customHeight="1" x14ac:dyDescent="0.25">
      <c r="A3" s="223" t="s">
        <v>1</v>
      </c>
      <c r="B3" s="148" t="s">
        <v>194</v>
      </c>
      <c r="C3" s="149"/>
      <c r="D3" s="150">
        <f>C3/12</f>
        <v>0</v>
      </c>
    </row>
    <row r="4" spans="1:4" ht="16.5" customHeight="1" x14ac:dyDescent="0.25">
      <c r="A4" s="223"/>
      <c r="B4" s="151" t="s">
        <v>195</v>
      </c>
      <c r="C4" s="152"/>
      <c r="D4" s="153">
        <f t="shared" ref="D4:D11" si="0">C4/12</f>
        <v>0</v>
      </c>
    </row>
    <row r="5" spans="1:4" ht="16.5" customHeight="1" x14ac:dyDescent="0.25">
      <c r="A5" s="223"/>
      <c r="B5" s="154" t="s">
        <v>196</v>
      </c>
      <c r="C5" s="152"/>
      <c r="D5" s="150">
        <f t="shared" si="0"/>
        <v>0</v>
      </c>
    </row>
    <row r="6" spans="1:4" ht="16.5" customHeight="1" x14ac:dyDescent="0.25">
      <c r="A6" s="223"/>
      <c r="B6" s="151" t="s">
        <v>197</v>
      </c>
      <c r="C6" s="152"/>
      <c r="D6" s="153">
        <f t="shared" si="0"/>
        <v>0</v>
      </c>
    </row>
    <row r="7" spans="1:4" ht="16.5" customHeight="1" x14ac:dyDescent="0.25">
      <c r="A7" s="223"/>
      <c r="B7" s="154" t="s">
        <v>232</v>
      </c>
      <c r="C7" s="152"/>
      <c r="D7" s="150">
        <f t="shared" si="0"/>
        <v>0</v>
      </c>
    </row>
    <row r="8" spans="1:4" ht="16.5" customHeight="1" x14ac:dyDescent="0.25">
      <c r="A8" s="223"/>
      <c r="B8" s="151" t="s">
        <v>199</v>
      </c>
      <c r="C8" s="152"/>
      <c r="D8" s="153">
        <f t="shared" si="0"/>
        <v>0</v>
      </c>
    </row>
    <row r="9" spans="1:4" ht="16.5" customHeight="1" x14ac:dyDescent="0.25">
      <c r="A9" s="223"/>
      <c r="B9" s="154" t="s">
        <v>200</v>
      </c>
      <c r="C9" s="152"/>
      <c r="D9" s="150">
        <f t="shared" si="0"/>
        <v>0</v>
      </c>
    </row>
    <row r="10" spans="1:4" ht="16.5" customHeight="1" x14ac:dyDescent="0.25">
      <c r="A10" s="223"/>
      <c r="B10" s="151" t="s">
        <v>201</v>
      </c>
      <c r="C10" s="152"/>
      <c r="D10" s="153">
        <f t="shared" si="0"/>
        <v>0</v>
      </c>
    </row>
    <row r="11" spans="1:4" ht="16.5" customHeight="1" x14ac:dyDescent="0.25">
      <c r="A11" s="223"/>
      <c r="B11" s="155" t="s">
        <v>198</v>
      </c>
      <c r="C11" s="152"/>
      <c r="D11" s="150">
        <f t="shared" si="0"/>
        <v>0</v>
      </c>
    </row>
    <row r="12" spans="1:4" ht="16.5" customHeight="1" x14ac:dyDescent="0.25">
      <c r="A12" s="224"/>
      <c r="B12" s="156" t="s">
        <v>202</v>
      </c>
      <c r="C12" s="157">
        <f>SUM(C3:C11)</f>
        <v>0</v>
      </c>
      <c r="D12" s="157">
        <f>SUM(D3:D11)</f>
        <v>0</v>
      </c>
    </row>
    <row r="13" spans="1:4" ht="16.5" customHeight="1" x14ac:dyDescent="0.25">
      <c r="A13" s="225" t="s">
        <v>9</v>
      </c>
      <c r="B13" s="158" t="s">
        <v>276</v>
      </c>
      <c r="C13" s="152"/>
      <c r="D13" s="159">
        <f>C13/12</f>
        <v>0</v>
      </c>
    </row>
    <row r="14" spans="1:4" ht="16.5" customHeight="1" x14ac:dyDescent="0.25">
      <c r="A14" s="225"/>
      <c r="B14" s="160" t="s">
        <v>203</v>
      </c>
      <c r="C14" s="152"/>
      <c r="D14" s="161">
        <f t="shared" ref="D14:D26" si="1">C14/12</f>
        <v>0</v>
      </c>
    </row>
    <row r="15" spans="1:4" ht="16.5" customHeight="1" x14ac:dyDescent="0.25">
      <c r="A15" s="225"/>
      <c r="B15" s="162" t="s">
        <v>204</v>
      </c>
      <c r="C15" s="152"/>
      <c r="D15" s="159">
        <f t="shared" si="1"/>
        <v>0</v>
      </c>
    </row>
    <row r="16" spans="1:4" ht="16.5" customHeight="1" x14ac:dyDescent="0.25">
      <c r="A16" s="225"/>
      <c r="B16" s="154" t="s">
        <v>205</v>
      </c>
      <c r="C16" s="152"/>
      <c r="D16" s="161">
        <f t="shared" si="1"/>
        <v>0</v>
      </c>
    </row>
    <row r="17" spans="1:4" ht="16.5" customHeight="1" x14ac:dyDescent="0.25">
      <c r="A17" s="225"/>
      <c r="B17" s="163" t="s">
        <v>210</v>
      </c>
      <c r="C17" s="152"/>
      <c r="D17" s="159">
        <f t="shared" si="1"/>
        <v>0</v>
      </c>
    </row>
    <row r="18" spans="1:4" ht="16.5" customHeight="1" x14ac:dyDescent="0.25">
      <c r="A18" s="225"/>
      <c r="B18" s="154" t="s">
        <v>233</v>
      </c>
      <c r="C18" s="152"/>
      <c r="D18" s="161">
        <f t="shared" si="1"/>
        <v>0</v>
      </c>
    </row>
    <row r="19" spans="1:4" ht="16.5" customHeight="1" x14ac:dyDescent="0.25">
      <c r="A19" s="225"/>
      <c r="B19" s="163" t="s">
        <v>211</v>
      </c>
      <c r="C19" s="152"/>
      <c r="D19" s="159">
        <f t="shared" si="1"/>
        <v>0</v>
      </c>
    </row>
    <row r="20" spans="1:4" ht="16.5" customHeight="1" x14ac:dyDescent="0.25">
      <c r="A20" s="225"/>
      <c r="B20" s="154" t="s">
        <v>278</v>
      </c>
      <c r="C20" s="152"/>
      <c r="D20" s="161">
        <f t="shared" si="1"/>
        <v>0</v>
      </c>
    </row>
    <row r="21" spans="1:4" ht="16.5" customHeight="1" x14ac:dyDescent="0.25">
      <c r="A21" s="225"/>
      <c r="B21" s="163" t="s">
        <v>212</v>
      </c>
      <c r="C21" s="152"/>
      <c r="D21" s="159">
        <f t="shared" si="1"/>
        <v>0</v>
      </c>
    </row>
    <row r="22" spans="1:4" ht="16.5" customHeight="1" x14ac:dyDescent="0.25">
      <c r="A22" s="225"/>
      <c r="B22" s="154" t="s">
        <v>273</v>
      </c>
      <c r="C22" s="152"/>
      <c r="D22" s="161">
        <f t="shared" si="1"/>
        <v>0</v>
      </c>
    </row>
    <row r="23" spans="1:4" ht="16.5" customHeight="1" x14ac:dyDescent="0.25">
      <c r="A23" s="225"/>
      <c r="B23" s="163" t="s">
        <v>281</v>
      </c>
      <c r="C23" s="152"/>
      <c r="D23" s="159">
        <f t="shared" si="1"/>
        <v>0</v>
      </c>
    </row>
    <row r="24" spans="1:4" ht="16.5" customHeight="1" x14ac:dyDescent="0.25">
      <c r="A24" s="225"/>
      <c r="B24" s="154" t="s">
        <v>271</v>
      </c>
      <c r="C24" s="152"/>
      <c r="D24" s="161">
        <f t="shared" si="1"/>
        <v>0</v>
      </c>
    </row>
    <row r="25" spans="1:4" ht="16.5" customHeight="1" x14ac:dyDescent="0.25">
      <c r="A25" s="225"/>
      <c r="B25" s="163" t="s">
        <v>213</v>
      </c>
      <c r="C25" s="152"/>
      <c r="D25" s="159">
        <f t="shared" si="1"/>
        <v>0</v>
      </c>
    </row>
    <row r="26" spans="1:4" ht="16.5" customHeight="1" x14ac:dyDescent="0.25">
      <c r="A26" s="225"/>
      <c r="B26" s="155" t="s">
        <v>214</v>
      </c>
      <c r="C26" s="152"/>
      <c r="D26" s="161">
        <f t="shared" si="1"/>
        <v>0</v>
      </c>
    </row>
    <row r="27" spans="1:4" ht="16.5" customHeight="1" x14ac:dyDescent="0.25">
      <c r="A27" s="226"/>
      <c r="B27" s="164" t="s">
        <v>220</v>
      </c>
      <c r="C27" s="165">
        <f>SUM(C13:C26)</f>
        <v>0</v>
      </c>
      <c r="D27" s="165">
        <f>SUM(D13:D26)</f>
        <v>0</v>
      </c>
    </row>
    <row r="28" spans="1:4" ht="16.5" customHeight="1" x14ac:dyDescent="0.25">
      <c r="A28" s="221" t="s">
        <v>13</v>
      </c>
      <c r="B28" s="166" t="s">
        <v>215</v>
      </c>
      <c r="C28" s="152"/>
      <c r="D28" s="167">
        <f>C28/12</f>
        <v>0</v>
      </c>
    </row>
    <row r="29" spans="1:4" ht="16.5" customHeight="1" x14ac:dyDescent="0.25">
      <c r="A29" s="222"/>
      <c r="B29" s="155" t="s">
        <v>216</v>
      </c>
      <c r="C29" s="152"/>
      <c r="D29" s="161">
        <f t="shared" ref="D29:D35" si="2">C29/12</f>
        <v>0</v>
      </c>
    </row>
    <row r="30" spans="1:4" ht="16.5" customHeight="1" x14ac:dyDescent="0.25">
      <c r="A30" s="222"/>
      <c r="B30" s="168" t="s">
        <v>217</v>
      </c>
      <c r="C30" s="152"/>
      <c r="D30" s="167">
        <f t="shared" si="2"/>
        <v>0</v>
      </c>
    </row>
    <row r="31" spans="1:4" ht="16.5" customHeight="1" x14ac:dyDescent="0.25">
      <c r="A31" s="222"/>
      <c r="B31" s="169" t="s">
        <v>218</v>
      </c>
      <c r="C31" s="152"/>
      <c r="D31" s="161">
        <f t="shared" si="2"/>
        <v>0</v>
      </c>
    </row>
    <row r="32" spans="1:4" ht="16.5" customHeight="1" x14ac:dyDescent="0.25">
      <c r="A32" s="222"/>
      <c r="B32" s="170" t="s">
        <v>219</v>
      </c>
      <c r="C32" s="152"/>
      <c r="D32" s="167">
        <f t="shared" si="2"/>
        <v>0</v>
      </c>
    </row>
    <row r="33" spans="1:4" ht="16.5" customHeight="1" x14ac:dyDescent="0.25">
      <c r="A33" s="222"/>
      <c r="B33" s="155" t="s">
        <v>223</v>
      </c>
      <c r="C33" s="152"/>
      <c r="D33" s="161">
        <f t="shared" si="2"/>
        <v>0</v>
      </c>
    </row>
    <row r="34" spans="1:4" ht="16.5" customHeight="1" x14ac:dyDescent="0.25">
      <c r="A34" s="222"/>
      <c r="B34" s="168" t="s">
        <v>224</v>
      </c>
      <c r="C34" s="152"/>
      <c r="D34" s="167">
        <f t="shared" si="2"/>
        <v>0</v>
      </c>
    </row>
    <row r="35" spans="1:4" ht="16.5" customHeight="1" x14ac:dyDescent="0.25">
      <c r="A35" s="222"/>
      <c r="B35" s="155" t="s">
        <v>225</v>
      </c>
      <c r="C35" s="152"/>
      <c r="D35" s="161">
        <f t="shared" si="2"/>
        <v>0</v>
      </c>
    </row>
    <row r="36" spans="1:4" ht="16.5" customHeight="1" x14ac:dyDescent="0.25">
      <c r="A36" s="171"/>
      <c r="B36" s="172" t="s">
        <v>221</v>
      </c>
      <c r="C36" s="173">
        <f>SUM(C28:C35)</f>
        <v>0</v>
      </c>
      <c r="D36" s="173">
        <f>SUM(D28:D35)</f>
        <v>0</v>
      </c>
    </row>
  </sheetData>
  <sheetProtection sheet="1" objects="1" scenarios="1"/>
  <mergeCells count="4">
    <mergeCell ref="A28:A35"/>
    <mergeCell ref="A3:A12"/>
    <mergeCell ref="A13:A27"/>
    <mergeCell ref="A1:D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D9179E-D478-4BD6-B9D9-4C4E9287DC77}">
  <sheetPr codeName="Sheet1">
    <tabColor theme="9"/>
  </sheetPr>
  <dimension ref="A1:K49"/>
  <sheetViews>
    <sheetView zoomScaleNormal="100" workbookViewId="0">
      <pane ySplit="1" topLeftCell="A2" activePane="bottomLeft" state="frozen"/>
      <selection activeCell="K3" sqref="K3"/>
      <selection pane="bottomLeft" activeCell="A2" sqref="A2:A14"/>
    </sheetView>
  </sheetViews>
  <sheetFormatPr defaultColWidth="9.140625" defaultRowHeight="15" x14ac:dyDescent="0.25"/>
  <cols>
    <col min="1" max="1" width="10.7109375" style="15" customWidth="1"/>
    <col min="2" max="2" width="28.140625" style="16" customWidth="1"/>
    <col min="3" max="3" width="14" style="17" customWidth="1"/>
    <col min="4" max="4" width="2.7109375" style="4" customWidth="1"/>
    <col min="5" max="5" width="28.42578125" style="17" customWidth="1"/>
    <col min="6" max="6" width="17.7109375" style="18" customWidth="1"/>
    <col min="7" max="7" width="31.140625" style="17" customWidth="1"/>
    <col min="8" max="8" width="17.7109375" style="18" customWidth="1"/>
    <col min="9" max="9" width="23.140625" style="25" customWidth="1"/>
    <col min="10" max="10" width="17.7109375" style="19" customWidth="1"/>
    <col min="11" max="11" width="22.7109375" style="4" bestFit="1" customWidth="1"/>
    <col min="12" max="16384" width="9.140625" style="4"/>
  </cols>
  <sheetData>
    <row r="1" spans="1:10" s="1" customFormat="1" ht="27.75" customHeight="1" thickTop="1" x14ac:dyDescent="0.25">
      <c r="A1" s="241" t="s">
        <v>164</v>
      </c>
      <c r="B1" s="242"/>
      <c r="C1" s="242"/>
      <c r="D1" s="242"/>
      <c r="E1" s="242"/>
      <c r="F1" s="242"/>
      <c r="G1" s="242"/>
      <c r="H1" s="242"/>
      <c r="I1" s="242"/>
      <c r="J1" s="242"/>
    </row>
    <row r="2" spans="1:10" ht="63" customHeight="1" x14ac:dyDescent="0.25">
      <c r="A2" s="249" t="s">
        <v>1</v>
      </c>
      <c r="B2" s="243" t="s">
        <v>11</v>
      </c>
      <c r="C2" s="66"/>
      <c r="D2" s="75"/>
      <c r="E2" s="2"/>
      <c r="F2" s="3"/>
      <c r="G2" s="2"/>
      <c r="H2" s="3"/>
      <c r="I2" s="24"/>
      <c r="J2" s="53"/>
    </row>
    <row r="3" spans="1:10" ht="63" customHeight="1" x14ac:dyDescent="0.25">
      <c r="A3" s="250"/>
      <c r="B3" s="244"/>
      <c r="C3" s="68"/>
      <c r="D3" s="76"/>
      <c r="E3" s="73" t="s">
        <v>87</v>
      </c>
      <c r="F3" s="11"/>
      <c r="G3" s="10"/>
      <c r="H3" s="11"/>
      <c r="I3" s="54"/>
      <c r="J3" s="55"/>
    </row>
    <row r="4" spans="1:10" ht="63" hidden="1" customHeight="1" x14ac:dyDescent="0.25">
      <c r="A4" s="250"/>
      <c r="B4" s="42" t="str">
        <f>Questions!A2</f>
        <v>Have commercial/industrial revenues been impacted?</v>
      </c>
      <c r="C4" s="68"/>
      <c r="D4" s="74"/>
      <c r="E4" s="30" t="str">
        <f>IF(OR(C4="Yes"),Questions!A3,"")</f>
        <v/>
      </c>
      <c r="F4" s="88" t="str">
        <f>IF(OR(C4="Yes"),'2019 Data'!D3,"")</f>
        <v/>
      </c>
      <c r="G4" s="30" t="str">
        <f>IF(OR(C4="Yes"),Questions!A4,"")</f>
        <v/>
      </c>
      <c r="H4" s="86"/>
      <c r="I4" s="70" t="str">
        <f>IF(OR(C4="Yes"),Questions!A5,"")</f>
        <v/>
      </c>
      <c r="J4" s="71" t="str">
        <f t="shared" ref="J4:J13" si="0">IF(OR(C4="Yes"),SUM(H4-F4),"")</f>
        <v/>
      </c>
    </row>
    <row r="5" spans="1:10" ht="63" hidden="1" customHeight="1" x14ac:dyDescent="0.25">
      <c r="A5" s="250"/>
      <c r="B5" s="39" t="str">
        <f>Questions!A6</f>
        <v>Have residential revenues been impacted?</v>
      </c>
      <c r="C5" s="33"/>
      <c r="D5" s="74"/>
      <c r="E5" s="6" t="str">
        <f>IF(OR(C5="Yes"),Questions!A7,"")</f>
        <v/>
      </c>
      <c r="F5" s="89" t="str">
        <f>IF(OR(C5="Yes"),'2019 Data'!D4,"")</f>
        <v/>
      </c>
      <c r="G5" s="6" t="str">
        <f>IF(OR(C5="Yes"),Questions!A8,"")</f>
        <v/>
      </c>
      <c r="H5" s="87"/>
      <c r="I5" s="34" t="str">
        <f>IF(OR(C5="Yes"),Questions!A9,"")</f>
        <v/>
      </c>
      <c r="J5" s="47" t="str">
        <f t="shared" si="0"/>
        <v/>
      </c>
    </row>
    <row r="6" spans="1:10" ht="63" hidden="1" customHeight="1" x14ac:dyDescent="0.25">
      <c r="A6" s="250"/>
      <c r="B6" s="42" t="str">
        <f>Questions!A10</f>
        <v>Do you sell wholesale water/wastewater treatment?</v>
      </c>
      <c r="C6" s="33"/>
      <c r="D6" s="74"/>
      <c r="E6" s="5" t="str">
        <f>IF(OR(C6="Yes"),Questions!A11,"")</f>
        <v/>
      </c>
      <c r="F6" s="88" t="str">
        <f>IF(OR(C6="Yes"),'2019 Data'!D5,"")</f>
        <v/>
      </c>
      <c r="G6" s="5" t="str">
        <f>IF(OR(C6="Yes"),Questions!A12,"")</f>
        <v/>
      </c>
      <c r="H6" s="87"/>
      <c r="I6" s="35" t="str">
        <f>IF(OR(C6="Yes"),Questions!A13,"")</f>
        <v/>
      </c>
      <c r="J6" s="46" t="str">
        <f t="shared" si="0"/>
        <v/>
      </c>
    </row>
    <row r="7" spans="1:10" ht="63" hidden="1" customHeight="1" x14ac:dyDescent="0.25">
      <c r="A7" s="250"/>
      <c r="B7" s="39" t="str">
        <f>Questions!A14</f>
        <v>Do you charge connection/tap fees?</v>
      </c>
      <c r="C7" s="33"/>
      <c r="D7" s="74"/>
      <c r="E7" s="6" t="str">
        <f>IF(OR(C7="Yes"),Questions!A15,"")</f>
        <v/>
      </c>
      <c r="F7" s="89" t="str">
        <f>IF(OR(C7="Yes"),'2019 Data'!D6,"")</f>
        <v/>
      </c>
      <c r="G7" s="6" t="str">
        <f>IF(OR(C7="Yes"),Questions!A16,"")</f>
        <v/>
      </c>
      <c r="H7" s="87"/>
      <c r="I7" s="34" t="str">
        <f>IF(OR(C7="Yes"),Questions!A17,"")</f>
        <v/>
      </c>
      <c r="J7" s="47" t="str">
        <f t="shared" si="0"/>
        <v/>
      </c>
    </row>
    <row r="8" spans="1:10" ht="63" hidden="1" customHeight="1" x14ac:dyDescent="0.25">
      <c r="A8" s="250"/>
      <c r="B8" s="95" t="str">
        <f>Questions!A18</f>
        <v>Are you suspending late fees?</v>
      </c>
      <c r="C8" s="33"/>
      <c r="D8" s="74"/>
      <c r="E8" s="6" t="str">
        <f>IF(OR(C8="Yes"),Questions!A19,"")</f>
        <v/>
      </c>
      <c r="F8" s="89" t="str">
        <f>IF(OR(C8="Yes"),'2019 Data'!D7,"")</f>
        <v/>
      </c>
      <c r="G8" s="6" t="str">
        <f>IF(OR(C8="Yes"),Questions!A20,"")</f>
        <v/>
      </c>
      <c r="H8" s="87"/>
      <c r="I8" s="34" t="str">
        <f>IF(OR(C8="Yes"),Questions!A21,"")</f>
        <v/>
      </c>
      <c r="J8" s="47" t="str">
        <f t="shared" si="0"/>
        <v/>
      </c>
    </row>
    <row r="9" spans="1:10" ht="63" hidden="1" customHeight="1" x14ac:dyDescent="0.25">
      <c r="A9" s="250"/>
      <c r="B9" s="95" t="str">
        <f>Questions!A22</f>
        <v>Are you suspending shutoffs?</v>
      </c>
      <c r="C9" s="33"/>
      <c r="D9" s="74"/>
      <c r="E9" s="6" t="str">
        <f>IF(OR(C9="Yes"),Questions!A23,"")</f>
        <v/>
      </c>
      <c r="F9" s="115"/>
      <c r="G9" s="6" t="str">
        <f>IF(OR(F9="Yes"),Questions!A24,"")</f>
        <v/>
      </c>
      <c r="H9" s="87"/>
      <c r="I9" s="34" t="str">
        <f>IF(OR(F9="Yes"),Questions!A25,"")</f>
        <v/>
      </c>
      <c r="J9" s="47" t="str">
        <f>IF(OR(F9="Yes"),-H9,"")</f>
        <v/>
      </c>
    </row>
    <row r="10" spans="1:10" ht="63" hidden="1" customHeight="1" x14ac:dyDescent="0.25">
      <c r="A10" s="250"/>
      <c r="B10" s="42" t="str">
        <f>Questions!A26</f>
        <v>Does your system receive tax revenue either directly or from a parent agency?</v>
      </c>
      <c r="C10" s="33"/>
      <c r="D10" s="74"/>
      <c r="E10" s="5" t="str">
        <f>IF(OR(C10="Yes"),Questions!A27,"")</f>
        <v/>
      </c>
      <c r="F10" s="88" t="str">
        <f>IF(OR(C10="Yes"),'2019 Data'!D8,"")</f>
        <v/>
      </c>
      <c r="G10" s="29" t="str">
        <f>IF(OR(C10="Yes"),Questions!A28,"")</f>
        <v/>
      </c>
      <c r="H10" s="87"/>
      <c r="I10" s="35" t="str">
        <f>IF(OR(C10="Yes"),Questions!A29,"")</f>
        <v/>
      </c>
      <c r="J10" s="46" t="str">
        <f t="shared" si="0"/>
        <v/>
      </c>
    </row>
    <row r="11" spans="1:10" ht="63" hidden="1" customHeight="1" x14ac:dyDescent="0.25">
      <c r="A11" s="250"/>
      <c r="B11" s="39" t="str">
        <f>Questions!A30</f>
        <v>Do you sell byproducts (e.g., biosolids, electricity, etc.)?</v>
      </c>
      <c r="C11" s="33"/>
      <c r="D11" s="74"/>
      <c r="E11" s="6" t="str">
        <f>IF(OR(C11="Yes"),Questions!A31,"")</f>
        <v/>
      </c>
      <c r="F11" s="89" t="str">
        <f>IF(OR(C11="Yes"),'2019 Data'!D9,"")</f>
        <v/>
      </c>
      <c r="G11" s="83" t="str">
        <f>IF(OR(C11="Yes"),Questions!A32,"")</f>
        <v/>
      </c>
      <c r="H11" s="87"/>
      <c r="I11" s="34" t="str">
        <f>IF(OR(C11="Yes"),Questions!A33,"")</f>
        <v/>
      </c>
      <c r="J11" s="47" t="str">
        <f t="shared" si="0"/>
        <v/>
      </c>
    </row>
    <row r="12" spans="1:10" ht="63" hidden="1" customHeight="1" x14ac:dyDescent="0.25">
      <c r="A12" s="250"/>
      <c r="B12" s="42" t="str">
        <f>Questions!A34</f>
        <v>Do you generate interest income from cash on hand?</v>
      </c>
      <c r="C12" s="33"/>
      <c r="D12" s="74"/>
      <c r="E12" s="5" t="str">
        <f>IF(OR(C12="Yes"),Questions!A35,"")</f>
        <v/>
      </c>
      <c r="F12" s="88" t="str">
        <f>IF(OR(C12="Yes"),'2019 Data'!D10,"")</f>
        <v/>
      </c>
      <c r="G12" s="30" t="str">
        <f>IF(OR(C12="Yes"),Questions!A36,"")</f>
        <v/>
      </c>
      <c r="H12" s="87"/>
      <c r="I12" s="35" t="str">
        <f>IF(OR(C12="Yes"),Questions!A37,"")</f>
        <v/>
      </c>
      <c r="J12" s="46" t="str">
        <f t="shared" si="0"/>
        <v/>
      </c>
    </row>
    <row r="13" spans="1:10" ht="63" hidden="1" customHeight="1" x14ac:dyDescent="0.25">
      <c r="A13" s="250"/>
      <c r="B13" s="62" t="str">
        <f>Questions!A38</f>
        <v>Do you have additional revenue streams that have not been identified?</v>
      </c>
      <c r="C13" s="66"/>
      <c r="D13" s="77"/>
      <c r="E13" s="7" t="str">
        <f>IF(OR(C13="Yes"),Questions!A39,"")</f>
        <v/>
      </c>
      <c r="F13" s="90" t="str">
        <f>IF(OR(C13="Yes"),'2019 Data'!D11,"")</f>
        <v/>
      </c>
      <c r="G13" s="6" t="str">
        <f>IF(OR(C13="Yes"),Questions!A40,"")</f>
        <v/>
      </c>
      <c r="H13" s="87"/>
      <c r="I13" s="34" t="str">
        <f>IF(OR(C13="Yes"),Questions!A41,"")</f>
        <v/>
      </c>
      <c r="J13" s="47" t="str">
        <f t="shared" si="0"/>
        <v/>
      </c>
    </row>
    <row r="14" spans="1:10" ht="63" hidden="1" customHeight="1" x14ac:dyDescent="0.25">
      <c r="A14" s="251"/>
      <c r="B14" s="78"/>
      <c r="C14" s="29"/>
      <c r="D14" s="79"/>
      <c r="E14" s="117" t="s">
        <v>0</v>
      </c>
      <c r="F14" s="48">
        <f>SUM(F2:F13)</f>
        <v>0</v>
      </c>
      <c r="G14" s="8" t="s">
        <v>102</v>
      </c>
      <c r="H14" s="48">
        <f>SUM(H2:H13)</f>
        <v>0</v>
      </c>
      <c r="I14" s="28" t="s">
        <v>100</v>
      </c>
      <c r="J14" s="48">
        <f>SUM(J2:J13)</f>
        <v>0</v>
      </c>
    </row>
    <row r="15" spans="1:10" ht="63" customHeight="1" x14ac:dyDescent="0.25">
      <c r="A15" s="252" t="s">
        <v>9</v>
      </c>
      <c r="B15" s="245" t="s">
        <v>298</v>
      </c>
      <c r="C15" s="66"/>
      <c r="D15" s="75"/>
      <c r="E15" s="2"/>
      <c r="F15" s="3"/>
      <c r="G15" s="2"/>
      <c r="H15" s="3"/>
      <c r="I15" s="24"/>
      <c r="J15" s="53"/>
    </row>
    <row r="16" spans="1:10" ht="63" customHeight="1" x14ac:dyDescent="0.25">
      <c r="A16" s="253"/>
      <c r="B16" s="246"/>
      <c r="C16" s="67"/>
      <c r="D16" s="77"/>
      <c r="E16" s="98" t="s">
        <v>245</v>
      </c>
      <c r="F16" s="11"/>
      <c r="G16" s="10"/>
      <c r="H16" s="11"/>
      <c r="I16" s="54"/>
      <c r="J16" s="55"/>
    </row>
    <row r="17" spans="1:11" ht="63" hidden="1" customHeight="1" x14ac:dyDescent="0.25">
      <c r="A17" s="253"/>
      <c r="B17" s="247" t="str">
        <f>Questions!B2</f>
        <v>Have your labor costs, regular and overtime, changed?</v>
      </c>
      <c r="C17" s="239"/>
      <c r="D17" s="75"/>
      <c r="E17" s="9" t="str">
        <f>IF(OR(C17="Yes"),Questions!B3,"")</f>
        <v/>
      </c>
      <c r="F17" s="91" t="str">
        <f>IF(OR(C17="Yes"),'2019 Data'!D13,"")</f>
        <v/>
      </c>
      <c r="G17" s="9" t="str">
        <f>IF(OR(C17="Yes"),Questions!B4,"")</f>
        <v/>
      </c>
      <c r="H17" s="87"/>
      <c r="I17" s="36" t="str">
        <f>IF(OR(C17="Yes"),Questions!B5,"")</f>
        <v/>
      </c>
      <c r="J17" s="50" t="str">
        <f>IF(OR(C17="Yes"),SUM(H17-F17),"")</f>
        <v/>
      </c>
    </row>
    <row r="18" spans="1:11" ht="63" hidden="1" customHeight="1" x14ac:dyDescent="0.25">
      <c r="A18" s="253"/>
      <c r="B18" s="248"/>
      <c r="C18" s="240"/>
      <c r="D18" s="77"/>
      <c r="E18" s="9" t="str">
        <f>IF(OR(C17="Yes"),Questions!B6,"")</f>
        <v/>
      </c>
      <c r="F18" s="91" t="str">
        <f>IF(OR(C17="Yes"),'2019 Data'!D14,"")</f>
        <v/>
      </c>
      <c r="G18" s="9" t="str">
        <f>IF(OR(C17="Yes"),Questions!B7,"")</f>
        <v/>
      </c>
      <c r="H18" s="87"/>
      <c r="I18" s="36" t="str">
        <f>IF(OR(C17="Yes"),Questions!B8,"")</f>
        <v/>
      </c>
      <c r="J18" s="50" t="str">
        <f>IF(OR(C17="Yes"),SUM(H18-F18),"")</f>
        <v/>
      </c>
    </row>
    <row r="19" spans="1:11" ht="63" hidden="1" customHeight="1" x14ac:dyDescent="0.25">
      <c r="A19" s="253"/>
      <c r="B19" s="95" t="str">
        <f>Questions!B9</f>
        <v>Do you purchase water for resale?</v>
      </c>
      <c r="C19" s="33"/>
      <c r="D19" s="72"/>
      <c r="E19" s="10" t="str">
        <f>IF(OR(C19="Yes"),Questions!B10,"")</f>
        <v/>
      </c>
      <c r="F19" s="89" t="str">
        <f>IF(OR(C19="Yes"),'2019 Data'!D15,"")</f>
        <v/>
      </c>
      <c r="G19" s="10" t="str">
        <f>IF(OR(C19="Yes"),Questions!B11,"")</f>
        <v/>
      </c>
      <c r="H19" s="87"/>
      <c r="I19" s="34" t="str">
        <f>IF(OR(C19="Yes"),Questions!B12,"")</f>
        <v/>
      </c>
      <c r="J19" s="47" t="str">
        <f t="shared" ref="J19:J30" si="1">IF(OR(C19="Yes"),SUM(H19-F19),"")</f>
        <v/>
      </c>
    </row>
    <row r="20" spans="1:11" ht="63" hidden="1" customHeight="1" x14ac:dyDescent="0.25">
      <c r="A20" s="253"/>
      <c r="B20" s="97" t="s">
        <v>193</v>
      </c>
      <c r="C20" s="33"/>
      <c r="D20" s="72"/>
      <c r="E20" s="69" t="str">
        <f>IF(OR(C20="Yes"),Questions!B14,"")</f>
        <v/>
      </c>
      <c r="F20" s="91" t="str">
        <f>IF(OR(C20="Yes"),'2019 Data'!D16,"")</f>
        <v/>
      </c>
      <c r="G20" s="69" t="str">
        <f>IF(OR(C20="Yes"),Questions!B15,"")</f>
        <v/>
      </c>
      <c r="H20" s="87"/>
      <c r="I20" s="36" t="str">
        <f>IF(OR(C20="Yes"),Questions!B16,"")</f>
        <v/>
      </c>
      <c r="J20" s="50" t="str">
        <f t="shared" si="1"/>
        <v/>
      </c>
    </row>
    <row r="21" spans="1:11" ht="63" hidden="1" customHeight="1" x14ac:dyDescent="0.25">
      <c r="A21" s="253"/>
      <c r="B21" s="95" t="str">
        <f>Questions!B17</f>
        <v>Have your chemical usages changed?</v>
      </c>
      <c r="C21" s="33"/>
      <c r="D21" s="72"/>
      <c r="E21" s="6" t="str">
        <f>IF(OR(C21="Yes"),Questions!B18,"")</f>
        <v/>
      </c>
      <c r="F21" s="89" t="str">
        <f>IF(OR(C21="Yes"),'2019 Data'!D17,"")</f>
        <v/>
      </c>
      <c r="G21" s="6" t="str">
        <f>IF(OR(C21="Yes"),Questions!B19,"")</f>
        <v/>
      </c>
      <c r="H21" s="87"/>
      <c r="I21" s="34" t="str">
        <f>IF(OR(C21="Yes"),Questions!B20,"")</f>
        <v/>
      </c>
      <c r="J21" s="47" t="str">
        <f t="shared" si="1"/>
        <v/>
      </c>
    </row>
    <row r="22" spans="1:11" ht="63" hidden="1" customHeight="1" x14ac:dyDescent="0.25">
      <c r="A22" s="253"/>
      <c r="B22" s="97" t="str">
        <f>Questions!B21</f>
        <v>Have your disposal costs changed?</v>
      </c>
      <c r="C22" s="33"/>
      <c r="D22" s="72"/>
      <c r="E22" s="9" t="str">
        <f>IF(OR(C22="Yes"),Questions!B22,"")</f>
        <v/>
      </c>
      <c r="F22" s="91" t="str">
        <f>IF(OR(C22="Yes"),'2019 Data'!D18,"")</f>
        <v/>
      </c>
      <c r="G22" s="9" t="str">
        <f>IF(OR(C22="Yes"),Questions!B23,"")</f>
        <v/>
      </c>
      <c r="H22" s="87"/>
      <c r="I22" s="36" t="str">
        <f>IF(OR(C22="Yes"),Questions!B24,"")</f>
        <v/>
      </c>
      <c r="J22" s="50" t="str">
        <f t="shared" si="1"/>
        <v/>
      </c>
    </row>
    <row r="23" spans="1:11" ht="63" hidden="1" customHeight="1" x14ac:dyDescent="0.25">
      <c r="A23" s="253"/>
      <c r="B23" s="39" t="str">
        <f>Questions!B25</f>
        <v>Have your testing expenses changed?</v>
      </c>
      <c r="C23" s="33"/>
      <c r="D23" s="72"/>
      <c r="E23" s="6" t="str">
        <f>IF(OR(C23="Yes"),Questions!B26,"")</f>
        <v/>
      </c>
      <c r="F23" s="89" t="str">
        <f>IF(OR(C23="Yes"),'2019 Data'!D19,"")</f>
        <v/>
      </c>
      <c r="G23" s="6" t="str">
        <f>IF(OR(C23="Yes"),Questions!B27,"")</f>
        <v/>
      </c>
      <c r="H23" s="87"/>
      <c r="I23" s="34" t="str">
        <f>IF(OR(C23="Yes"),Questions!B28,"")</f>
        <v/>
      </c>
      <c r="J23" s="47" t="str">
        <f t="shared" si="1"/>
        <v/>
      </c>
    </row>
    <row r="24" spans="1:11" ht="63" hidden="1" customHeight="1" x14ac:dyDescent="0.25">
      <c r="A24" s="253"/>
      <c r="B24" s="40" t="str">
        <f>Questions!B29</f>
        <v>Has there been a change in the system's energy bill?</v>
      </c>
      <c r="C24" s="33"/>
      <c r="D24" s="72"/>
      <c r="E24" s="9" t="str">
        <f>IF(OR(C24="Yes"),Questions!B30,"")</f>
        <v/>
      </c>
      <c r="F24" s="91" t="str">
        <f>IF(OR(C24="Yes"),'2019 Data'!D20,"")</f>
        <v/>
      </c>
      <c r="G24" s="9" t="str">
        <f>IF(OR(C24="Yes"),Questions!B31,"")</f>
        <v/>
      </c>
      <c r="H24" s="87"/>
      <c r="I24" s="36" t="str">
        <f>IF(OR(C24="Yes"),Questions!B32,"")</f>
        <v/>
      </c>
      <c r="J24" s="50" t="str">
        <f t="shared" si="1"/>
        <v/>
      </c>
    </row>
    <row r="25" spans="1:11" ht="63" hidden="1" customHeight="1" x14ac:dyDescent="0.25">
      <c r="A25" s="253"/>
      <c r="B25" s="39" t="str">
        <f>Questions!B33</f>
        <v>Has there been a change in the system's other utility services?</v>
      </c>
      <c r="C25" s="33"/>
      <c r="D25" s="72"/>
      <c r="E25" s="7" t="str">
        <f>IF(OR(C25="Yes"),Questions!B34,"")</f>
        <v/>
      </c>
      <c r="F25" s="90" t="str">
        <f>IF(OR(C25="Yes"),'2019 Data'!D21,"")</f>
        <v/>
      </c>
      <c r="G25" s="6" t="str">
        <f>IF(OR(C25="Yes"),Questions!B35,"")</f>
        <v/>
      </c>
      <c r="H25" s="87"/>
      <c r="I25" s="34" t="str">
        <f>IF(OR(C25="Yes"),Questions!B36,"")</f>
        <v/>
      </c>
      <c r="J25" s="47" t="str">
        <f t="shared" si="1"/>
        <v/>
      </c>
    </row>
    <row r="26" spans="1:11" ht="63" hidden="1" customHeight="1" x14ac:dyDescent="0.25">
      <c r="A26" s="253"/>
      <c r="B26" s="40" t="str">
        <f>Questions!B37</f>
        <v>Has there been a change in use of supplies (supply chains)?</v>
      </c>
      <c r="C26" s="33"/>
      <c r="D26" s="72"/>
      <c r="E26" s="9" t="str">
        <f>IF(OR(C26="Yes"),Questions!B38,"")</f>
        <v/>
      </c>
      <c r="F26" s="91" t="str">
        <f>IF(OR(C26="Yes"),'2019 Data'!D22,"")</f>
        <v/>
      </c>
      <c r="G26" s="9" t="str">
        <f>IF(OR(C26="Yes"),Questions!B39,"")</f>
        <v/>
      </c>
      <c r="H26" s="87"/>
      <c r="I26" s="36" t="str">
        <f>IF(OR(C26="Yes"),Questions!B40,"")</f>
        <v/>
      </c>
      <c r="J26" s="50" t="str">
        <f t="shared" si="1"/>
        <v/>
      </c>
    </row>
    <row r="27" spans="1:11" ht="63" hidden="1" customHeight="1" x14ac:dyDescent="0.25">
      <c r="A27" s="253"/>
      <c r="B27" s="39" t="str">
        <f>Questions!B41</f>
        <v>Has there been a change in supplying uniforms/attire?</v>
      </c>
      <c r="C27" s="33"/>
      <c r="D27" s="72"/>
      <c r="E27" s="6" t="str">
        <f>IF(OR(C27="Yes"),Questions!B42,"")</f>
        <v/>
      </c>
      <c r="F27" s="89" t="str">
        <f>IF(OR(C27="Yes"),'2019 Data'!D23,"")</f>
        <v/>
      </c>
      <c r="G27" s="6" t="str">
        <f>IF(OR(C27="Yes"),Questions!B43,"")</f>
        <v/>
      </c>
      <c r="H27" s="87"/>
      <c r="I27" s="34" t="str">
        <f>IF(OR(C27="Yes"),Questions!B44,"")</f>
        <v/>
      </c>
      <c r="J27" s="47" t="str">
        <f t="shared" si="1"/>
        <v/>
      </c>
    </row>
    <row r="28" spans="1:11" ht="63" hidden="1" customHeight="1" x14ac:dyDescent="0.25">
      <c r="A28" s="253"/>
      <c r="B28" s="40" t="str">
        <f>Questions!B45</f>
        <v>Has there been a change in supplying Personal Protection Equipment (PPE) or other materials, such as cloth masks?</v>
      </c>
      <c r="C28" s="33"/>
      <c r="D28" s="72"/>
      <c r="E28" s="9" t="str">
        <f>IF(OR(C28="Yes"),Questions!B46,"")</f>
        <v/>
      </c>
      <c r="F28" s="91" t="str">
        <f>IF(OR(C28="Yes"),'2019 Data'!D24,"")</f>
        <v/>
      </c>
      <c r="G28" s="9" t="str">
        <f>IF(OR(C28="Yes"),Questions!B47,"")</f>
        <v/>
      </c>
      <c r="H28" s="87"/>
      <c r="I28" s="36" t="str">
        <f>IF(OR(C28="Yes"),Questions!B48,"")</f>
        <v/>
      </c>
      <c r="J28" s="50" t="str">
        <f t="shared" si="1"/>
        <v/>
      </c>
    </row>
    <row r="29" spans="1:11" ht="63" hidden="1" customHeight="1" x14ac:dyDescent="0.25">
      <c r="A29" s="253"/>
      <c r="B29" s="39" t="str">
        <f>Questions!B49</f>
        <v>Do you expect a change in the system's interest expenses?</v>
      </c>
      <c r="C29" s="33"/>
      <c r="D29" s="72"/>
      <c r="E29" s="2" t="str">
        <f>IF(OR(C29="Yes"),Questions!B50,"")</f>
        <v/>
      </c>
      <c r="F29" s="89" t="str">
        <f>IF(OR(C29="Yes"),'2019 Data'!D25,"")</f>
        <v/>
      </c>
      <c r="G29" s="2" t="str">
        <f>IF(OR(C29="Yes"),Questions!B51,"")</f>
        <v/>
      </c>
      <c r="H29" s="87"/>
      <c r="I29" s="34" t="str">
        <f>IF(OR(C29="Yes"),Questions!B52,"")</f>
        <v/>
      </c>
      <c r="J29" s="47" t="str">
        <f t="shared" si="1"/>
        <v/>
      </c>
    </row>
    <row r="30" spans="1:11" ht="63" hidden="1" customHeight="1" x14ac:dyDescent="0.25">
      <c r="A30" s="253"/>
      <c r="B30" s="247" t="str">
        <f>Questions!B53</f>
        <v>Have you incurred new expenses as a result of COVID-19?</v>
      </c>
      <c r="C30" s="239"/>
      <c r="D30" s="75"/>
      <c r="E30" s="255" t="str">
        <f>IF(OR(C30="Yes"),Questions!B54,"")</f>
        <v/>
      </c>
      <c r="F30" s="255"/>
      <c r="G30" s="256"/>
      <c r="H30" s="87"/>
      <c r="I30" s="36"/>
      <c r="J30" s="50" t="str">
        <f t="shared" si="1"/>
        <v/>
      </c>
      <c r="K30" s="44"/>
    </row>
    <row r="31" spans="1:11" ht="63" hidden="1" customHeight="1" x14ac:dyDescent="0.25">
      <c r="A31" s="253"/>
      <c r="B31" s="248"/>
      <c r="C31" s="240"/>
      <c r="D31" s="74"/>
      <c r="E31" s="255" t="str">
        <f>IF(OR(C30="Yes"),Questions!B57,"")</f>
        <v/>
      </c>
      <c r="F31" s="255"/>
      <c r="G31" s="256"/>
      <c r="H31" s="87"/>
      <c r="I31" s="36" t="str">
        <f>IF(OR(C31="Yes"),Questions!B51,"")</f>
        <v/>
      </c>
      <c r="J31" s="50" t="str">
        <f>IF(OR(C30="Yes"),SUM(H30-F30),"")</f>
        <v/>
      </c>
      <c r="K31" s="44"/>
    </row>
    <row r="32" spans="1:11" ht="63" hidden="1" customHeight="1" x14ac:dyDescent="0.25">
      <c r="A32" s="253"/>
      <c r="B32" s="41" t="str">
        <f>Questions!B58</f>
        <v>Do you have additional expenses that have not been identified?</v>
      </c>
      <c r="C32" s="33"/>
      <c r="D32" s="72"/>
      <c r="E32" s="10" t="str">
        <f>IF(OR(C32="Yes"),Questions!B59,"")</f>
        <v/>
      </c>
      <c r="F32" s="89" t="str">
        <f>IF(OR(C32="Yes"),'2019 Data'!D26,"")</f>
        <v/>
      </c>
      <c r="G32" s="10" t="str">
        <f>IF(OR(C32="Yes"),Questions!B60,"")</f>
        <v/>
      </c>
      <c r="H32" s="87"/>
      <c r="I32" s="34" t="str">
        <f>IF(OR(C32="Yes"),Questions!B61,"")</f>
        <v/>
      </c>
      <c r="J32" s="47" t="str">
        <f>IF(OR(C32="Yes"),SUM(H32-F32),"")</f>
        <v/>
      </c>
    </row>
    <row r="33" spans="1:11" ht="63" hidden="1" customHeight="1" x14ac:dyDescent="0.25">
      <c r="A33" s="254"/>
      <c r="B33" s="63"/>
      <c r="C33" s="9"/>
      <c r="D33" s="80"/>
      <c r="E33" s="12" t="s">
        <v>2</v>
      </c>
      <c r="F33" s="51">
        <f>SUM(F17:F32)</f>
        <v>0</v>
      </c>
      <c r="G33" s="12" t="s">
        <v>78</v>
      </c>
      <c r="H33" s="51">
        <f>SUM(H17:H32)</f>
        <v>0</v>
      </c>
      <c r="I33" s="26" t="s">
        <v>103</v>
      </c>
      <c r="J33" s="51">
        <f>SUM(J17:J32)</f>
        <v>0</v>
      </c>
    </row>
    <row r="34" spans="1:11" ht="63" customHeight="1" x14ac:dyDescent="0.25">
      <c r="A34" s="43" t="s">
        <v>18</v>
      </c>
      <c r="B34" s="59"/>
      <c r="C34" s="2"/>
      <c r="D34" s="82"/>
      <c r="E34" s="13" t="s">
        <v>3</v>
      </c>
      <c r="F34" s="49">
        <f>F14-F33</f>
        <v>0</v>
      </c>
      <c r="G34" s="14" t="s">
        <v>77</v>
      </c>
      <c r="H34" s="49">
        <f>H14-H33</f>
        <v>0</v>
      </c>
      <c r="I34" s="27" t="s">
        <v>4</v>
      </c>
      <c r="J34" s="49">
        <f>J14-J33</f>
        <v>0</v>
      </c>
    </row>
    <row r="35" spans="1:11" ht="75.75" customHeight="1" x14ac:dyDescent="0.25">
      <c r="A35" s="233" t="s">
        <v>13</v>
      </c>
      <c r="B35" s="81" t="str">
        <f>Questions!C2</f>
        <v>Has there been, or do you expect, a change in Accounts receivable?</v>
      </c>
      <c r="C35" s="33"/>
      <c r="D35" s="72"/>
      <c r="E35" s="113" t="str">
        <f>IF(OR(C35="Yes"),Questions!C13,"")</f>
        <v/>
      </c>
      <c r="F35" s="112" t="str">
        <f>IF(OR(C35="Yes"),'2019 Data'!D28,"")</f>
        <v/>
      </c>
      <c r="G35" s="111" t="str">
        <f>IF(OR(C35="Yes"),Questions!C14,"")</f>
        <v/>
      </c>
      <c r="H35" s="92"/>
      <c r="I35" s="38" t="str">
        <f>IF(OR(C35="Yes"),Questions!C28,"")</f>
        <v/>
      </c>
      <c r="J35" s="52" t="str">
        <f>IF(OR(C35="Yes"),SUM(F35-H35),"")</f>
        <v/>
      </c>
      <c r="K35" s="17"/>
    </row>
    <row r="36" spans="1:11" ht="75.75" customHeight="1" x14ac:dyDescent="0.25">
      <c r="A36" s="234"/>
      <c r="B36" s="96" t="str">
        <f>Questions!C3</f>
        <v>Has there been, or do you expect, a change in Accounts payable?</v>
      </c>
      <c r="C36" s="33"/>
      <c r="D36" s="72"/>
      <c r="E36" s="83" t="str">
        <f>IF(OR(C36="Yes"),Questions!C13,"")</f>
        <v/>
      </c>
      <c r="F36" s="93" t="str">
        <f>IF(OR(C36="Yes"),'2019 Data'!D29,"")</f>
        <v/>
      </c>
      <c r="G36" s="31" t="str">
        <f>IF(OR(C36="Yes"),Questions!C14,"")</f>
        <v/>
      </c>
      <c r="H36" s="92"/>
      <c r="I36" s="34" t="str">
        <f>IF(OR(C36="Yes"),Questions!C28,"")</f>
        <v/>
      </c>
      <c r="J36" s="47" t="str">
        <f>IF(OR(C36="Yes"),SUM(H36-F36),"")</f>
        <v/>
      </c>
    </row>
    <row r="37" spans="1:11" ht="75.75" customHeight="1" x14ac:dyDescent="0.25">
      <c r="A37" s="234"/>
      <c r="B37" s="81" t="str">
        <f>Questions!C4</f>
        <v>Will you delay pension fund contributions?</v>
      </c>
      <c r="C37" s="33"/>
      <c r="D37" s="72"/>
      <c r="E37" s="109" t="str">
        <f>IF(OR(C37="Yes"),Questions!C13,"")</f>
        <v/>
      </c>
      <c r="F37" s="110" t="str">
        <f>IF(OR(C37="Yes"),'2019 Data'!D30,"")</f>
        <v/>
      </c>
      <c r="G37" s="111" t="str">
        <f>IF(OR(C37="Yes"),Questions!C14,"")</f>
        <v/>
      </c>
      <c r="H37" s="92"/>
      <c r="I37" s="38" t="str">
        <f>IF(OR(C37="Yes"),Questions!C28,"")</f>
        <v/>
      </c>
      <c r="J37" s="52" t="str">
        <f>IF(OR(C37="Yes"),SUM(F37-H37),"")</f>
        <v/>
      </c>
      <c r="K37" s="44"/>
    </row>
    <row r="38" spans="1:11" ht="75.75" customHeight="1" x14ac:dyDescent="0.25">
      <c r="A38" s="234"/>
      <c r="B38" s="237" t="str">
        <f>Questions!C5</f>
        <v>Are there inter-agency funds transfers that have occurred, or that will occur?</v>
      </c>
      <c r="C38" s="239"/>
      <c r="D38" s="75"/>
      <c r="E38" s="83" t="str">
        <f>IF(OR(C38="Yes"),Questions!C15,"")</f>
        <v/>
      </c>
      <c r="F38" s="93" t="str">
        <f>IF(OR(C38="Yes"),'2019 Data'!D31,"")</f>
        <v/>
      </c>
      <c r="G38" s="31" t="str">
        <f>IF(OR(C38="Yes"),Questions!C16,"")</f>
        <v/>
      </c>
      <c r="H38" s="92"/>
      <c r="I38" s="34" t="str">
        <f>IF(OR(C38="Yes"),Questions!C28,"")</f>
        <v/>
      </c>
      <c r="J38" s="47" t="str">
        <f>IF(OR(C38="Yes"),SUM(F38-H38),"")</f>
        <v/>
      </c>
      <c r="K38" s="44"/>
    </row>
    <row r="39" spans="1:11" ht="75.75" customHeight="1" x14ac:dyDescent="0.25">
      <c r="A39" s="234"/>
      <c r="B39" s="238"/>
      <c r="C39" s="240"/>
      <c r="D39" s="74"/>
      <c r="E39" s="83" t="str">
        <f>IF(OR(C38="Yes"),Questions!C17,"")</f>
        <v/>
      </c>
      <c r="F39" s="93" t="str">
        <f>IF(OR(C38="Yes"),'2019 Data'!D32,"")</f>
        <v/>
      </c>
      <c r="G39" s="31" t="str">
        <f>IF(OR(C38="Yes"),Questions!C18,"")</f>
        <v/>
      </c>
      <c r="H39" s="92"/>
      <c r="I39" s="34" t="str">
        <f>IF(OR(C38="Yes"),Questions!C28,"")</f>
        <v/>
      </c>
      <c r="J39" s="47" t="str">
        <f>IF(OR(C38="Yes"),SUM(H39-F39),"")</f>
        <v/>
      </c>
      <c r="K39" s="44"/>
    </row>
    <row r="40" spans="1:11" ht="75.75" customHeight="1" x14ac:dyDescent="0.25">
      <c r="A40" s="234"/>
      <c r="B40" s="106" t="str">
        <f>Questions!C6</f>
        <v>Has there been, or do you expect, a change in the system's rate structure such as a delay in implementing a rate increase or temporary rate reductions?</v>
      </c>
      <c r="C40" s="33"/>
      <c r="D40" s="72"/>
      <c r="E40" s="58" t="str">
        <f>IF(OR(C40="Yes"),Questions!C19,"")</f>
        <v/>
      </c>
      <c r="F40" s="94" t="str">
        <f>IF(OR(C40="Yes"),'2019 Data'!D33,"")</f>
        <v/>
      </c>
      <c r="G40" s="37" t="str">
        <f>IF(OR(C40="Yes"),Questions!C20,"")</f>
        <v/>
      </c>
      <c r="H40" s="92"/>
      <c r="I40" s="38" t="str">
        <f>IF(OR(C40="Yes"),Questions!C28,"")</f>
        <v/>
      </c>
      <c r="J40" s="52" t="str">
        <f>IF(OR(C40="Yes"),SUM(H40-F40),"")</f>
        <v/>
      </c>
    </row>
    <row r="41" spans="1:11" ht="75.75" customHeight="1" x14ac:dyDescent="0.25">
      <c r="A41" s="234"/>
      <c r="B41" s="105" t="str">
        <f>Questions!C7</f>
        <v>Do you have a rate stabilization fund?</v>
      </c>
      <c r="C41" s="33"/>
      <c r="D41" s="72"/>
      <c r="E41" s="83" t="str">
        <f>IF(OR(C41="Yes"),Questions!C21,"")</f>
        <v/>
      </c>
      <c r="F41" s="93" t="str">
        <f>IF(OR(C41="Yes"),'2019 Data'!D34,"")</f>
        <v/>
      </c>
      <c r="G41" s="31" t="str">
        <f>IF(OR(C41="Yes"),Questions!C22,"")</f>
        <v/>
      </c>
      <c r="H41" s="92"/>
      <c r="I41" s="34" t="str">
        <f>IF(OR(C41="Yes"),Questions!C28,"")</f>
        <v/>
      </c>
      <c r="J41" s="47" t="str">
        <f>IF(OR(C41="Yes"),SUM(H41-F41),"")</f>
        <v/>
      </c>
    </row>
    <row r="42" spans="1:11" ht="75.75" customHeight="1" x14ac:dyDescent="0.25">
      <c r="A42" s="234"/>
      <c r="B42" s="106" t="str">
        <f>Questions!C8</f>
        <v>Has there been, or do you expect, a change in budgeted capital expenditures?</v>
      </c>
      <c r="C42" s="33"/>
      <c r="D42" s="72"/>
      <c r="E42" s="109" t="str">
        <f>IF(OR(C42="Yes"),Questions!C23,"")</f>
        <v/>
      </c>
      <c r="F42" s="110" t="str">
        <f>IF(OR(C42="Yes"),'2019 Data'!D35,"")</f>
        <v/>
      </c>
      <c r="G42" s="37" t="str">
        <f>IF(OR(C42="Yes"),Questions!C24,"")</f>
        <v/>
      </c>
      <c r="H42" s="92"/>
      <c r="I42" s="38" t="str">
        <f>IF(OR(C42="Yes"),Questions!C28,"")</f>
        <v/>
      </c>
      <c r="J42" s="52" t="str">
        <f>IF(OR(C42="Yes"),SUM(F42-H42),"")</f>
        <v/>
      </c>
      <c r="K42" s="44"/>
    </row>
    <row r="43" spans="1:11" ht="75.75" customHeight="1" x14ac:dyDescent="0.25">
      <c r="A43" s="234"/>
      <c r="B43" s="105" t="str">
        <f>Questions!C9</f>
        <v>Are there, or do you expect, a change in expenditures due to delayed construction projects?</v>
      </c>
      <c r="C43" s="33"/>
      <c r="D43" s="72"/>
      <c r="E43" s="231" t="str">
        <f>IF(OR(C43="Yes"),Questions!C25,"")</f>
        <v/>
      </c>
      <c r="F43" s="231"/>
      <c r="G43" s="232"/>
      <c r="H43" s="92"/>
      <c r="I43" s="34" t="str">
        <f>IF(OR(C43="Yes"),Questions!C28,"")</f>
        <v/>
      </c>
      <c r="J43" s="47" t="str">
        <f>IF(OR(C43="Yes"),H43,"")</f>
        <v/>
      </c>
      <c r="K43" s="44"/>
    </row>
    <row r="44" spans="1:11" ht="75.75" customHeight="1" x14ac:dyDescent="0.25">
      <c r="A44" s="234"/>
      <c r="B44" s="106" t="str">
        <f>Questions!C10</f>
        <v>Will you attempt to restructure existing debt?</v>
      </c>
      <c r="C44" s="33"/>
      <c r="D44" s="72"/>
      <c r="E44" s="229" t="str">
        <f>IF(OR(C44="Yes"),Questions!C25,"")</f>
        <v/>
      </c>
      <c r="F44" s="229"/>
      <c r="G44" s="230"/>
      <c r="H44" s="92"/>
      <c r="I44" s="38" t="str">
        <f>IF(OR(C44="Yes"),Questions!C28,"")</f>
        <v/>
      </c>
      <c r="J44" s="52" t="str">
        <f>IF(OR(C44="Yes"),H44,"")</f>
        <v/>
      </c>
      <c r="K44" s="44"/>
    </row>
    <row r="45" spans="1:11" ht="75.75" customHeight="1" x14ac:dyDescent="0.25">
      <c r="A45" s="234"/>
      <c r="B45" s="105" t="str">
        <f>Questions!C11</f>
        <v>Will you incur new debt?</v>
      </c>
      <c r="C45" s="33"/>
      <c r="D45" s="72"/>
      <c r="E45" s="231" t="str">
        <f>IF(OR(C45="Yes"),Questions!C25,"")</f>
        <v/>
      </c>
      <c r="F45" s="231"/>
      <c r="G45" s="232"/>
      <c r="H45" s="92"/>
      <c r="I45" s="114" t="str">
        <f>IF(OR(C45="Yes"),Questions!C28,"")</f>
        <v/>
      </c>
      <c r="J45" s="53" t="str">
        <f>IF(OR(C45="Yes"),H45,"")</f>
        <v/>
      </c>
      <c r="K45" s="44"/>
    </row>
    <row r="46" spans="1:11" ht="75.75" customHeight="1" x14ac:dyDescent="0.25">
      <c r="A46" s="235"/>
      <c r="B46" s="108" t="str">
        <f>Questions!C12</f>
        <v>Do you have available cash on hand?</v>
      </c>
      <c r="C46" s="66"/>
      <c r="D46" s="72"/>
      <c r="E46" s="229" t="str">
        <f>IF(OR(C46="Yes"),Questions!C26,"")</f>
        <v/>
      </c>
      <c r="F46" s="229"/>
      <c r="G46" s="230"/>
      <c r="H46" s="32"/>
      <c r="I46" s="38" t="str">
        <f>IF(OR(C46="Yes"),Questions!C28,"")</f>
        <v/>
      </c>
      <c r="J46" s="52" t="str">
        <f>IF(OR(C46="Yes"),H46,"")</f>
        <v/>
      </c>
      <c r="K46" s="44"/>
    </row>
    <row r="47" spans="1:11" ht="75.75" customHeight="1" x14ac:dyDescent="0.25">
      <c r="A47" s="235"/>
      <c r="B47" s="59" t="s">
        <v>254</v>
      </c>
      <c r="C47" s="33"/>
      <c r="D47" s="72"/>
      <c r="E47" s="231" t="str">
        <f>IF(OR(C47="Yes"),Questions!C27,"")</f>
        <v/>
      </c>
      <c r="F47" s="231"/>
      <c r="G47" s="232"/>
      <c r="H47" s="107"/>
      <c r="I47" s="34" t="str">
        <f>IF(OR(C47="Yes"),Questions!C28,"")</f>
        <v/>
      </c>
      <c r="J47" s="47" t="str">
        <f>IF(OR(C47="Yes"),H47,"")</f>
        <v/>
      </c>
      <c r="K47" s="44"/>
    </row>
    <row r="48" spans="1:11" ht="75.75" customHeight="1" x14ac:dyDescent="0.25">
      <c r="A48" s="236"/>
      <c r="B48" s="61"/>
      <c r="C48" s="85"/>
      <c r="D48" s="58"/>
      <c r="E48" s="84" t="s">
        <v>93</v>
      </c>
      <c r="F48" s="65">
        <f>SUM(F35:F47)</f>
        <v>0</v>
      </c>
      <c r="G48" s="45" t="s">
        <v>98</v>
      </c>
      <c r="H48" s="65">
        <f>SUM(H35:H47)</f>
        <v>0</v>
      </c>
      <c r="I48" s="56" t="s">
        <v>99</v>
      </c>
      <c r="J48" s="57">
        <f>SUM(J35:J47)</f>
        <v>0</v>
      </c>
    </row>
    <row r="49" spans="10:10" x14ac:dyDescent="0.25">
      <c r="J49" s="25"/>
    </row>
  </sheetData>
  <mergeCells count="19">
    <mergeCell ref="A1:J1"/>
    <mergeCell ref="B2:B3"/>
    <mergeCell ref="B15:B16"/>
    <mergeCell ref="B30:B31"/>
    <mergeCell ref="C30:C31"/>
    <mergeCell ref="C17:C18"/>
    <mergeCell ref="A2:A14"/>
    <mergeCell ref="A15:A33"/>
    <mergeCell ref="B17:B18"/>
    <mergeCell ref="E30:G30"/>
    <mergeCell ref="E31:G31"/>
    <mergeCell ref="E46:G46"/>
    <mergeCell ref="E45:G45"/>
    <mergeCell ref="E44:G44"/>
    <mergeCell ref="A35:A48"/>
    <mergeCell ref="B38:B39"/>
    <mergeCell ref="C38:C39"/>
    <mergeCell ref="E43:G43"/>
    <mergeCell ref="E47:G47"/>
  </mergeCells>
  <dataValidations count="1">
    <dataValidation type="list" allowBlank="1" showInputMessage="1" showErrorMessage="1" sqref="C17:C32 C4:C13 C35:C38 C40:C47 F9" xr:uid="{39771FF1-379B-43F7-A33A-64059639C89A}">
      <formula1>"Yes,No"</formula1>
    </dataValidation>
  </dataValidations>
  <pageMargins left="0.7" right="0.7" top="0.75" bottom="0.75" header="0.3" footer="0.3"/>
  <pageSetup orientation="portrait" r:id="rId1"/>
  <ignoredErrors>
    <ignoredError sqref="J18 J31" formula="1"/>
  </ignoredErrors>
  <drawing r:id="rId2"/>
  <legacyDrawing r:id="rId3"/>
  <controls>
    <mc:AlternateContent xmlns:mc="http://schemas.openxmlformats.org/markup-compatibility/2006">
      <mc:Choice Requires="x14">
        <control shapeId="1039" r:id="rId4" name="CommandButton4">
          <controlPr defaultSize="0" autoLine="0" r:id="rId5">
            <anchor moveWithCells="1">
              <from>
                <xdr:col>2</xdr:col>
                <xdr:colOff>238125</xdr:colOff>
                <xdr:row>15</xdr:row>
                <xdr:rowOff>95250</xdr:rowOff>
              </from>
              <to>
                <xdr:col>2</xdr:col>
                <xdr:colOff>857250</xdr:colOff>
                <xdr:row>15</xdr:row>
                <xdr:rowOff>647700</xdr:rowOff>
              </to>
            </anchor>
          </controlPr>
        </control>
      </mc:Choice>
      <mc:Fallback>
        <control shapeId="1039" r:id="rId4" name="CommandButton4"/>
      </mc:Fallback>
    </mc:AlternateContent>
    <mc:AlternateContent xmlns:mc="http://schemas.openxmlformats.org/markup-compatibility/2006">
      <mc:Choice Requires="x14">
        <control shapeId="1038" r:id="rId6" name="CommandButton3">
          <controlPr defaultSize="0" autoLine="0" r:id="rId7">
            <anchor moveWithCells="1">
              <from>
                <xdr:col>2</xdr:col>
                <xdr:colOff>238125</xdr:colOff>
                <xdr:row>14</xdr:row>
                <xdr:rowOff>123825</xdr:rowOff>
              </from>
              <to>
                <xdr:col>2</xdr:col>
                <xdr:colOff>857250</xdr:colOff>
                <xdr:row>14</xdr:row>
                <xdr:rowOff>685800</xdr:rowOff>
              </to>
            </anchor>
          </controlPr>
        </control>
      </mc:Choice>
      <mc:Fallback>
        <control shapeId="1038" r:id="rId6" name="CommandButton3"/>
      </mc:Fallback>
    </mc:AlternateContent>
    <mc:AlternateContent xmlns:mc="http://schemas.openxmlformats.org/markup-compatibility/2006">
      <mc:Choice Requires="x14">
        <control shapeId="1036" r:id="rId8" name="CommandButton2">
          <controlPr defaultSize="0" autoLine="0" r:id="rId9">
            <anchor moveWithCells="1">
              <from>
                <xdr:col>2</xdr:col>
                <xdr:colOff>276225</xdr:colOff>
                <xdr:row>2</xdr:row>
                <xdr:rowOff>95250</xdr:rowOff>
              </from>
              <to>
                <xdr:col>2</xdr:col>
                <xdr:colOff>885825</xdr:colOff>
                <xdr:row>2</xdr:row>
                <xdr:rowOff>657225</xdr:rowOff>
              </to>
            </anchor>
          </controlPr>
        </control>
      </mc:Choice>
      <mc:Fallback>
        <control shapeId="1036" r:id="rId8" name="CommandButton2"/>
      </mc:Fallback>
    </mc:AlternateContent>
    <mc:AlternateContent xmlns:mc="http://schemas.openxmlformats.org/markup-compatibility/2006">
      <mc:Choice Requires="x14">
        <control shapeId="1032" r:id="rId10" name="CommandButton1">
          <controlPr defaultSize="0" autoLine="0" r:id="rId11">
            <anchor moveWithCells="1">
              <from>
                <xdr:col>2</xdr:col>
                <xdr:colOff>266700</xdr:colOff>
                <xdr:row>1</xdr:row>
                <xdr:rowOff>95250</xdr:rowOff>
              </from>
              <to>
                <xdr:col>2</xdr:col>
                <xdr:colOff>895350</xdr:colOff>
                <xdr:row>1</xdr:row>
                <xdr:rowOff>666750</xdr:rowOff>
              </to>
            </anchor>
          </controlPr>
        </control>
      </mc:Choice>
      <mc:Fallback>
        <control shapeId="1032" r:id="rId10"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C7A6A-D933-40D6-83EB-C2097BD4A404}">
  <sheetPr codeName="Sheet4">
    <tabColor theme="8"/>
  </sheetPr>
  <dimension ref="A1:K49"/>
  <sheetViews>
    <sheetView zoomScaleNormal="100" workbookViewId="0">
      <pane ySplit="1" topLeftCell="A2" activePane="bottomLeft" state="frozen"/>
      <selection activeCell="K3" sqref="K3"/>
      <selection pane="bottomLeft" activeCell="A2" sqref="A2:A14"/>
    </sheetView>
  </sheetViews>
  <sheetFormatPr defaultColWidth="9.140625" defaultRowHeight="15" x14ac:dyDescent="0.25"/>
  <cols>
    <col min="1" max="1" width="10.7109375" style="15" customWidth="1"/>
    <col min="2" max="2" width="28.140625" style="16" customWidth="1"/>
    <col min="3" max="3" width="14" style="17" customWidth="1"/>
    <col min="4" max="4" width="2.7109375" style="4" customWidth="1"/>
    <col min="5" max="5" width="28.42578125" style="17" customWidth="1"/>
    <col min="6" max="6" width="17.7109375" style="18" customWidth="1"/>
    <col min="7" max="7" width="31.140625" style="17" customWidth="1"/>
    <col min="8" max="8" width="17.7109375" style="18" customWidth="1"/>
    <col min="9" max="9" width="23.140625" style="25" customWidth="1"/>
    <col min="10" max="10" width="17.7109375" style="19" customWidth="1"/>
    <col min="11" max="11" width="22.7109375" style="4" bestFit="1" customWidth="1"/>
    <col min="12" max="16384" width="9.140625" style="4"/>
  </cols>
  <sheetData>
    <row r="1" spans="1:10" s="1" customFormat="1" ht="27.75" customHeight="1" thickTop="1" x14ac:dyDescent="0.25">
      <c r="A1" s="241" t="s">
        <v>165</v>
      </c>
      <c r="B1" s="242"/>
      <c r="C1" s="242"/>
      <c r="D1" s="242"/>
      <c r="E1" s="242"/>
      <c r="F1" s="242"/>
      <c r="G1" s="242"/>
      <c r="H1" s="242"/>
      <c r="I1" s="242"/>
      <c r="J1" s="242"/>
    </row>
    <row r="2" spans="1:10" ht="63" customHeight="1" x14ac:dyDescent="0.25">
      <c r="A2" s="249" t="s">
        <v>1</v>
      </c>
      <c r="B2" s="243" t="s">
        <v>11</v>
      </c>
      <c r="C2" s="66"/>
      <c r="D2" s="75"/>
      <c r="E2" s="2"/>
      <c r="F2" s="3"/>
      <c r="G2" s="2"/>
      <c r="H2" s="3"/>
      <c r="I2" s="24"/>
      <c r="J2" s="53"/>
    </row>
    <row r="3" spans="1:10" ht="63" customHeight="1" x14ac:dyDescent="0.25">
      <c r="A3" s="250"/>
      <c r="B3" s="244"/>
      <c r="C3" s="68"/>
      <c r="D3" s="76"/>
      <c r="E3" s="73" t="s">
        <v>87</v>
      </c>
      <c r="F3" s="11"/>
      <c r="G3" s="10"/>
      <c r="H3" s="11"/>
      <c r="I3" s="54"/>
      <c r="J3" s="55"/>
    </row>
    <row r="4" spans="1:10" ht="63" hidden="1" customHeight="1" x14ac:dyDescent="0.25">
      <c r="A4" s="250"/>
      <c r="B4" s="42" t="str">
        <f>Questions!A2</f>
        <v>Have commercial/industrial revenues been impacted?</v>
      </c>
      <c r="C4" s="68"/>
      <c r="D4" s="74"/>
      <c r="E4" s="30" t="str">
        <f>IF(OR(C4="Yes"),Questions!A3,"")</f>
        <v/>
      </c>
      <c r="F4" s="88" t="str">
        <f>IF(OR(C4="Yes"),'2019 Data'!D3,"")</f>
        <v/>
      </c>
      <c r="G4" s="30" t="str">
        <f>IF(OR(C4="Yes"),Questions!A4,"")</f>
        <v/>
      </c>
      <c r="H4" s="86"/>
      <c r="I4" s="70" t="str">
        <f>IF(OR(C4="Yes"),Questions!A5,"")</f>
        <v/>
      </c>
      <c r="J4" s="71" t="str">
        <f t="shared" ref="J4:J13" si="0">IF(OR(C4="Yes"),SUM(H4-F4),"")</f>
        <v/>
      </c>
    </row>
    <row r="5" spans="1:10" ht="63" hidden="1" customHeight="1" x14ac:dyDescent="0.25">
      <c r="A5" s="250"/>
      <c r="B5" s="60" t="str">
        <f>Questions!A6</f>
        <v>Have residential revenues been impacted?</v>
      </c>
      <c r="C5" s="33"/>
      <c r="D5" s="74"/>
      <c r="E5" s="6" t="str">
        <f>IF(OR(C5="Yes"),Questions!A7,"")</f>
        <v/>
      </c>
      <c r="F5" s="89" t="str">
        <f>IF(OR(C5="Yes"),'2019 Data'!D4,"")</f>
        <v/>
      </c>
      <c r="G5" s="6" t="str">
        <f>IF(OR(C5="Yes"),Questions!A8,"")</f>
        <v/>
      </c>
      <c r="H5" s="87"/>
      <c r="I5" s="34" t="str">
        <f>IF(OR(C5="Yes"),Questions!A9,"")</f>
        <v/>
      </c>
      <c r="J5" s="47" t="str">
        <f t="shared" si="0"/>
        <v/>
      </c>
    </row>
    <row r="6" spans="1:10" ht="63" hidden="1" customHeight="1" x14ac:dyDescent="0.25">
      <c r="A6" s="250"/>
      <c r="B6" s="42" t="str">
        <f>Questions!A10</f>
        <v>Do you sell wholesale water/wastewater treatment?</v>
      </c>
      <c r="C6" s="33"/>
      <c r="D6" s="74"/>
      <c r="E6" s="5" t="str">
        <f>IF(OR(C6="Yes"),Questions!A11,"")</f>
        <v/>
      </c>
      <c r="F6" s="88" t="str">
        <f>IF(OR(C6="Yes"),'2019 Data'!D5,"")</f>
        <v/>
      </c>
      <c r="G6" s="5" t="str">
        <f>IF(OR(C6="Yes"),Questions!A12,"")</f>
        <v/>
      </c>
      <c r="H6" s="87"/>
      <c r="I6" s="35" t="str">
        <f>IF(OR(C6="Yes"),Questions!A13,"")</f>
        <v/>
      </c>
      <c r="J6" s="46" t="str">
        <f t="shared" si="0"/>
        <v/>
      </c>
    </row>
    <row r="7" spans="1:10" ht="63" hidden="1" customHeight="1" x14ac:dyDescent="0.25">
      <c r="A7" s="250"/>
      <c r="B7" s="60" t="str">
        <f>Questions!A14</f>
        <v>Do you charge connection/tap fees?</v>
      </c>
      <c r="C7" s="33"/>
      <c r="D7" s="74"/>
      <c r="E7" s="6" t="str">
        <f>IF(OR(C7="Yes"),Questions!A15,"")</f>
        <v/>
      </c>
      <c r="F7" s="89" t="str">
        <f>IF(OR(C7="Yes"),'2019 Data'!D6,"")</f>
        <v/>
      </c>
      <c r="G7" s="6" t="str">
        <f>IF(OR(C7="Yes"),Questions!A16,"")</f>
        <v/>
      </c>
      <c r="H7" s="87"/>
      <c r="I7" s="34" t="str">
        <f>IF(OR(C7="Yes"),Questions!A17,"")</f>
        <v/>
      </c>
      <c r="J7" s="47" t="str">
        <f t="shared" si="0"/>
        <v/>
      </c>
    </row>
    <row r="8" spans="1:10" ht="63" hidden="1" customHeight="1" x14ac:dyDescent="0.25">
      <c r="A8" s="250"/>
      <c r="B8" s="95" t="str">
        <f>Questions!A18</f>
        <v>Are you suspending late fees?</v>
      </c>
      <c r="C8" s="33"/>
      <c r="D8" s="74"/>
      <c r="E8" s="6" t="str">
        <f>IF(OR(C8="Yes"),Questions!A19,"")</f>
        <v/>
      </c>
      <c r="F8" s="89" t="str">
        <f>IF(OR(C8="Yes"),'2019 Data'!D7,"")</f>
        <v/>
      </c>
      <c r="G8" s="6" t="str">
        <f>IF(OR(C8="Yes"),Questions!A20,"")</f>
        <v/>
      </c>
      <c r="H8" s="87"/>
      <c r="I8" s="34" t="str">
        <f>IF(OR(C8="Yes"),Questions!A21,"")</f>
        <v/>
      </c>
      <c r="J8" s="47" t="str">
        <f t="shared" si="0"/>
        <v/>
      </c>
    </row>
    <row r="9" spans="1:10" ht="63" hidden="1" customHeight="1" x14ac:dyDescent="0.25">
      <c r="A9" s="250"/>
      <c r="B9" s="95" t="str">
        <f>Questions!A22</f>
        <v>Are you suspending shutoffs?</v>
      </c>
      <c r="C9" s="33"/>
      <c r="D9" s="74"/>
      <c r="E9" s="6" t="str">
        <f>IF(OR(C9="Yes"),Questions!A23,"")</f>
        <v/>
      </c>
      <c r="F9" s="115"/>
      <c r="G9" s="6" t="str">
        <f>IF(OR(F9="Yes"),Questions!A24,"")</f>
        <v/>
      </c>
      <c r="H9" s="87"/>
      <c r="I9" s="34" t="str">
        <f>IF(OR(F9="Yes"),Questions!A25,"")</f>
        <v/>
      </c>
      <c r="J9" s="47" t="str">
        <f>IF(OR(F9="Yes"),-H9,"")</f>
        <v/>
      </c>
    </row>
    <row r="10" spans="1:10" ht="63" hidden="1" customHeight="1" x14ac:dyDescent="0.25">
      <c r="A10" s="250"/>
      <c r="B10" s="42" t="str">
        <f>Questions!A26</f>
        <v>Does your system receive tax revenue either directly or from a parent agency?</v>
      </c>
      <c r="C10" s="33"/>
      <c r="D10" s="74"/>
      <c r="E10" s="5" t="str">
        <f>IF(OR(C10="Yes"),Questions!A27,"")</f>
        <v/>
      </c>
      <c r="F10" s="88" t="str">
        <f>IF(OR(C10="Yes"),'2019 Data'!D8,"")</f>
        <v/>
      </c>
      <c r="G10" s="29" t="str">
        <f>IF(OR(C10="Yes"),Questions!A28,"")</f>
        <v/>
      </c>
      <c r="H10" s="87"/>
      <c r="I10" s="35" t="str">
        <f>IF(OR(C10="Yes"),Questions!A29,"")</f>
        <v/>
      </c>
      <c r="J10" s="46" t="str">
        <f t="shared" si="0"/>
        <v/>
      </c>
    </row>
    <row r="11" spans="1:10" ht="63" hidden="1" customHeight="1" x14ac:dyDescent="0.25">
      <c r="A11" s="250"/>
      <c r="B11" s="60" t="str">
        <f>Questions!A30</f>
        <v>Do you sell byproducts (e.g., biosolids, electricity, etc.)?</v>
      </c>
      <c r="C11" s="33"/>
      <c r="D11" s="74"/>
      <c r="E11" s="6" t="str">
        <f>IF(OR(C11="Yes"),Questions!A31,"")</f>
        <v/>
      </c>
      <c r="F11" s="89" t="str">
        <f>IF(OR(C11="Yes"),'2019 Data'!D9,"")</f>
        <v/>
      </c>
      <c r="G11" s="83" t="str">
        <f>IF(OR(C11="Yes"),Questions!A32,"")</f>
        <v/>
      </c>
      <c r="H11" s="87"/>
      <c r="I11" s="34" t="str">
        <f>IF(OR(C11="Yes"),Questions!A33,"")</f>
        <v/>
      </c>
      <c r="J11" s="47" t="str">
        <f t="shared" si="0"/>
        <v/>
      </c>
    </row>
    <row r="12" spans="1:10" ht="63" hidden="1" customHeight="1" x14ac:dyDescent="0.25">
      <c r="A12" s="250"/>
      <c r="B12" s="42" t="str">
        <f>Questions!A34</f>
        <v>Do you generate interest income from cash on hand?</v>
      </c>
      <c r="C12" s="33"/>
      <c r="D12" s="74"/>
      <c r="E12" s="5" t="str">
        <f>IF(OR(C12="Yes"),Questions!A35,"")</f>
        <v/>
      </c>
      <c r="F12" s="88" t="str">
        <f>IF(OR(C12="Yes"),'2019 Data'!D10,"")</f>
        <v/>
      </c>
      <c r="G12" s="30" t="str">
        <f>IF(OR(C12="Yes"),Questions!A36,"")</f>
        <v/>
      </c>
      <c r="H12" s="87"/>
      <c r="I12" s="35" t="str">
        <f>IF(OR(C12="Yes"),Questions!A37,"")</f>
        <v/>
      </c>
      <c r="J12" s="46" t="str">
        <f t="shared" si="0"/>
        <v/>
      </c>
    </row>
    <row r="13" spans="1:10" ht="63" hidden="1" customHeight="1" x14ac:dyDescent="0.25">
      <c r="A13" s="250"/>
      <c r="B13" s="62" t="str">
        <f>Questions!A38</f>
        <v>Do you have additional revenue streams that have not been identified?</v>
      </c>
      <c r="C13" s="66"/>
      <c r="D13" s="77"/>
      <c r="E13" s="7" t="str">
        <f>IF(OR(C13="Yes"),Questions!A39,"")</f>
        <v/>
      </c>
      <c r="F13" s="90" t="str">
        <f>IF(OR(C13="Yes"),'2019 Data'!D11,"")</f>
        <v/>
      </c>
      <c r="G13" s="6" t="str">
        <f>IF(OR(C13="Yes"),Questions!A40,"")</f>
        <v/>
      </c>
      <c r="H13" s="87"/>
      <c r="I13" s="34" t="str">
        <f>IF(OR(C13="Yes"),Questions!A41,"")</f>
        <v/>
      </c>
      <c r="J13" s="47" t="str">
        <f t="shared" si="0"/>
        <v/>
      </c>
    </row>
    <row r="14" spans="1:10" ht="63" hidden="1" customHeight="1" x14ac:dyDescent="0.25">
      <c r="A14" s="251"/>
      <c r="B14" s="78"/>
      <c r="C14" s="29"/>
      <c r="D14" s="116"/>
      <c r="E14" s="8" t="s">
        <v>0</v>
      </c>
      <c r="F14" s="48">
        <f>SUM(F2:F13)</f>
        <v>0</v>
      </c>
      <c r="G14" s="8" t="s">
        <v>102</v>
      </c>
      <c r="H14" s="48">
        <f>SUM(H2:H13)</f>
        <v>0</v>
      </c>
      <c r="I14" s="28" t="s">
        <v>100</v>
      </c>
      <c r="J14" s="48">
        <f>SUM(J2:J13)</f>
        <v>0</v>
      </c>
    </row>
    <row r="15" spans="1:10" ht="63" customHeight="1" x14ac:dyDescent="0.25">
      <c r="A15" s="252" t="s">
        <v>9</v>
      </c>
      <c r="B15" s="245" t="s">
        <v>298</v>
      </c>
      <c r="C15" s="66"/>
      <c r="D15" s="75"/>
      <c r="E15" s="2"/>
      <c r="F15" s="3"/>
      <c r="G15" s="2"/>
      <c r="H15" s="3"/>
      <c r="I15" s="24"/>
      <c r="J15" s="53"/>
    </row>
    <row r="16" spans="1:10" ht="63" customHeight="1" x14ac:dyDescent="0.25">
      <c r="A16" s="253"/>
      <c r="B16" s="246"/>
      <c r="C16" s="67"/>
      <c r="D16" s="77"/>
      <c r="E16" s="98" t="s">
        <v>245</v>
      </c>
      <c r="F16" s="11"/>
      <c r="G16" s="10"/>
      <c r="H16" s="11"/>
      <c r="I16" s="54"/>
      <c r="J16" s="55"/>
    </row>
    <row r="17" spans="1:11" ht="63" hidden="1" customHeight="1" x14ac:dyDescent="0.25">
      <c r="A17" s="253"/>
      <c r="B17" s="247" t="str">
        <f>Questions!B2</f>
        <v>Have your labor costs, regular and overtime, changed?</v>
      </c>
      <c r="C17" s="239"/>
      <c r="D17" s="75"/>
      <c r="E17" s="9" t="str">
        <f>IF(OR(C17="Yes"),Questions!B3,"")</f>
        <v/>
      </c>
      <c r="F17" s="91" t="str">
        <f>IF(OR(C17="Yes"),'2019 Data'!D13,"")</f>
        <v/>
      </c>
      <c r="G17" s="9" t="str">
        <f>IF(OR(C17="Yes"),Questions!B4,"")</f>
        <v/>
      </c>
      <c r="H17" s="87"/>
      <c r="I17" s="36" t="str">
        <f>IF(OR(C17="Yes"),Questions!B5,"")</f>
        <v/>
      </c>
      <c r="J17" s="50" t="str">
        <f>IF(OR(C17="Yes"),SUM(H17-F17),"")</f>
        <v/>
      </c>
    </row>
    <row r="18" spans="1:11" ht="63" hidden="1" customHeight="1" x14ac:dyDescent="0.25">
      <c r="A18" s="253"/>
      <c r="B18" s="248"/>
      <c r="C18" s="240"/>
      <c r="D18" s="77"/>
      <c r="E18" s="9" t="str">
        <f>IF(OR(C17="Yes"),Questions!B6,"")</f>
        <v/>
      </c>
      <c r="F18" s="91" t="str">
        <f>IF(OR(C17="Yes"),'2019 Data'!D14,"")</f>
        <v/>
      </c>
      <c r="G18" s="9" t="str">
        <f>IF(OR(C17="Yes"),Questions!B7,"")</f>
        <v/>
      </c>
      <c r="H18" s="87"/>
      <c r="I18" s="36" t="str">
        <f>IF(OR(C17="Yes"),Questions!B8,"")</f>
        <v/>
      </c>
      <c r="J18" s="50" t="str">
        <f>IF(OR(C17="Yes"),SUM(H18-F18),"")</f>
        <v/>
      </c>
    </row>
    <row r="19" spans="1:11" ht="63" hidden="1" customHeight="1" x14ac:dyDescent="0.25">
      <c r="A19" s="253"/>
      <c r="B19" s="95" t="str">
        <f>Questions!B9</f>
        <v>Do you purchase water for resale?</v>
      </c>
      <c r="C19" s="33"/>
      <c r="D19" s="72"/>
      <c r="E19" s="10" t="str">
        <f>IF(OR(C19="Yes"),Questions!B10,"")</f>
        <v/>
      </c>
      <c r="F19" s="89" t="str">
        <f>IF(OR(C19="Yes"),'2019 Data'!D15,"")</f>
        <v/>
      </c>
      <c r="G19" s="10" t="str">
        <f>IF(OR(C19="Yes"),Questions!B11,"")</f>
        <v/>
      </c>
      <c r="H19" s="87"/>
      <c r="I19" s="34" t="str">
        <f>IF(OR(C19="Yes"),Questions!B12,"")</f>
        <v/>
      </c>
      <c r="J19" s="47" t="str">
        <f t="shared" ref="J19:J22" si="1">IF(OR(C19="Yes"),SUM(H19-F19),"")</f>
        <v/>
      </c>
    </row>
    <row r="20" spans="1:11" ht="63" hidden="1" customHeight="1" x14ac:dyDescent="0.25">
      <c r="A20" s="253"/>
      <c r="B20" s="97" t="s">
        <v>193</v>
      </c>
      <c r="C20" s="33"/>
      <c r="D20" s="72"/>
      <c r="E20" s="69" t="str">
        <f>IF(OR(C20="Yes"),Questions!B14,"")</f>
        <v/>
      </c>
      <c r="F20" s="91" t="str">
        <f>IF(OR(C20="Yes"),'2019 Data'!D16,"")</f>
        <v/>
      </c>
      <c r="G20" s="69" t="str">
        <f>IF(OR(C20="Yes"),Questions!B15,"")</f>
        <v/>
      </c>
      <c r="H20" s="87"/>
      <c r="I20" s="36" t="str">
        <f>IF(OR(C20="Yes"),Questions!B16,"")</f>
        <v/>
      </c>
      <c r="J20" s="50" t="str">
        <f t="shared" si="1"/>
        <v/>
      </c>
    </row>
    <row r="21" spans="1:11" ht="63" hidden="1" customHeight="1" x14ac:dyDescent="0.25">
      <c r="A21" s="253"/>
      <c r="B21" s="95" t="str">
        <f>Questions!B17</f>
        <v>Have your chemical usages changed?</v>
      </c>
      <c r="C21" s="33"/>
      <c r="D21" s="72"/>
      <c r="E21" s="6" t="str">
        <f>IF(OR(C21="Yes"),Questions!B18,"")</f>
        <v/>
      </c>
      <c r="F21" s="89" t="str">
        <f>IF(OR(C21="Yes"),'2019 Data'!D17,"")</f>
        <v/>
      </c>
      <c r="G21" s="6" t="str">
        <f>IF(OR(C21="Yes"),Questions!B19,"")</f>
        <v/>
      </c>
      <c r="H21" s="87"/>
      <c r="I21" s="34" t="str">
        <f>IF(OR(C21="Yes"),Questions!B20,"")</f>
        <v/>
      </c>
      <c r="J21" s="47" t="str">
        <f t="shared" si="1"/>
        <v/>
      </c>
    </row>
    <row r="22" spans="1:11" ht="63" hidden="1" customHeight="1" x14ac:dyDescent="0.25">
      <c r="A22" s="253"/>
      <c r="B22" s="97" t="str">
        <f>Questions!B21</f>
        <v>Have your disposal costs changed?</v>
      </c>
      <c r="C22" s="33"/>
      <c r="D22" s="72"/>
      <c r="E22" s="9" t="str">
        <f>IF(OR(C22="Yes"),Questions!B22,"")</f>
        <v/>
      </c>
      <c r="F22" s="91" t="str">
        <f>IF(OR(C22="Yes"),'2019 Data'!D18,"")</f>
        <v/>
      </c>
      <c r="G22" s="9" t="str">
        <f>IF(OR(C22="Yes"),Questions!B23,"")</f>
        <v/>
      </c>
      <c r="H22" s="87"/>
      <c r="I22" s="36" t="str">
        <f>IF(OR(C22="Yes"),Questions!B24,"")</f>
        <v/>
      </c>
      <c r="J22" s="50" t="str">
        <f t="shared" si="1"/>
        <v/>
      </c>
    </row>
    <row r="23" spans="1:11" ht="63" hidden="1" customHeight="1" x14ac:dyDescent="0.25">
      <c r="A23" s="253"/>
      <c r="B23" s="60" t="str">
        <f>Questions!B25</f>
        <v>Have your testing expenses changed?</v>
      </c>
      <c r="C23" s="33"/>
      <c r="D23" s="72"/>
      <c r="E23" s="6" t="str">
        <f>IF(OR(C23="Yes"),Questions!B26,"")</f>
        <v/>
      </c>
      <c r="F23" s="89" t="str">
        <f>IF(OR(C23="Yes"),'2019 Data'!D19,"")</f>
        <v/>
      </c>
      <c r="G23" s="6" t="str">
        <f>IF(OR(C23="Yes"),Questions!B27,"")</f>
        <v/>
      </c>
      <c r="H23" s="87"/>
      <c r="I23" s="34" t="str">
        <f>IF(OR(C23="Yes"),Questions!B28,"")</f>
        <v/>
      </c>
      <c r="J23" s="47" t="str">
        <f t="shared" ref="J23:J30" si="2">IF(OR(C23="Yes"),SUM(H23-F23),"")</f>
        <v/>
      </c>
    </row>
    <row r="24" spans="1:11" ht="63" hidden="1" customHeight="1" x14ac:dyDescent="0.25">
      <c r="A24" s="253"/>
      <c r="B24" s="64" t="str">
        <f>Questions!B29</f>
        <v>Has there been a change in the system's energy bill?</v>
      </c>
      <c r="C24" s="33"/>
      <c r="D24" s="72"/>
      <c r="E24" s="9" t="str">
        <f>IF(OR(C24="Yes"),Questions!B30,"")</f>
        <v/>
      </c>
      <c r="F24" s="91" t="str">
        <f>IF(OR(C24="Yes"),'2019 Data'!D20,"")</f>
        <v/>
      </c>
      <c r="G24" s="9" t="str">
        <f>IF(OR(C24="Yes"),Questions!B31,"")</f>
        <v/>
      </c>
      <c r="H24" s="87"/>
      <c r="I24" s="36" t="str">
        <f>IF(OR(C24="Yes"),Questions!B32,"")</f>
        <v/>
      </c>
      <c r="J24" s="50" t="str">
        <f t="shared" si="2"/>
        <v/>
      </c>
    </row>
    <row r="25" spans="1:11" ht="63" hidden="1" customHeight="1" x14ac:dyDescent="0.25">
      <c r="A25" s="253"/>
      <c r="B25" s="60" t="str">
        <f>Questions!B33</f>
        <v>Has there been a change in the system's other utility services?</v>
      </c>
      <c r="C25" s="33"/>
      <c r="D25" s="72"/>
      <c r="E25" s="7" t="str">
        <f>IF(OR(C25="Yes"),Questions!B34,"")</f>
        <v/>
      </c>
      <c r="F25" s="90" t="str">
        <f>IF(OR(C25="Yes"),'2019 Data'!D21,"")</f>
        <v/>
      </c>
      <c r="G25" s="6" t="str">
        <f>IF(OR(C25="Yes"),Questions!B35,"")</f>
        <v/>
      </c>
      <c r="H25" s="87"/>
      <c r="I25" s="34" t="str">
        <f>IF(OR(C25="Yes"),Questions!B36,"")</f>
        <v/>
      </c>
      <c r="J25" s="47" t="str">
        <f t="shared" si="2"/>
        <v/>
      </c>
    </row>
    <row r="26" spans="1:11" ht="63" hidden="1" customHeight="1" x14ac:dyDescent="0.25">
      <c r="A26" s="253"/>
      <c r="B26" s="64" t="str">
        <f>Questions!B37</f>
        <v>Has there been a change in use of supplies (supply chains)?</v>
      </c>
      <c r="C26" s="33"/>
      <c r="D26" s="72"/>
      <c r="E26" s="9" t="str">
        <f>IF(OR(C26="Yes"),Questions!B38,"")</f>
        <v/>
      </c>
      <c r="F26" s="91" t="str">
        <f>IF(OR(C26="Yes"),'2019 Data'!D22,"")</f>
        <v/>
      </c>
      <c r="G26" s="9" t="str">
        <f>IF(OR(C26="Yes"),Questions!B39,"")</f>
        <v/>
      </c>
      <c r="H26" s="87"/>
      <c r="I26" s="36" t="str">
        <f>IF(OR(C26="Yes"),Questions!B40,"")</f>
        <v/>
      </c>
      <c r="J26" s="50" t="str">
        <f t="shared" si="2"/>
        <v/>
      </c>
    </row>
    <row r="27" spans="1:11" ht="63" hidden="1" customHeight="1" x14ac:dyDescent="0.25">
      <c r="A27" s="253"/>
      <c r="B27" s="60" t="str">
        <f>Questions!B41</f>
        <v>Has there been a change in supplying uniforms/attire?</v>
      </c>
      <c r="C27" s="33"/>
      <c r="D27" s="72"/>
      <c r="E27" s="6" t="str">
        <f>IF(OR(C27="Yes"),Questions!B42,"")</f>
        <v/>
      </c>
      <c r="F27" s="89" t="str">
        <f>IF(OR(C27="Yes"),'2019 Data'!D23,"")</f>
        <v/>
      </c>
      <c r="G27" s="6" t="str">
        <f>IF(OR(C27="Yes"),Questions!B43,"")</f>
        <v/>
      </c>
      <c r="H27" s="87"/>
      <c r="I27" s="34" t="str">
        <f>IF(OR(C27="Yes"),Questions!B44,"")</f>
        <v/>
      </c>
      <c r="J27" s="47" t="str">
        <f t="shared" si="2"/>
        <v/>
      </c>
    </row>
    <row r="28" spans="1:11" ht="63" hidden="1" customHeight="1" x14ac:dyDescent="0.25">
      <c r="A28" s="253"/>
      <c r="B28" s="64" t="str">
        <f>Questions!B45</f>
        <v>Has there been a change in supplying Personal Protection Equipment (PPE) or other materials, such as cloth masks?</v>
      </c>
      <c r="C28" s="33"/>
      <c r="D28" s="72"/>
      <c r="E28" s="9" t="str">
        <f>IF(OR(C28="Yes"),Questions!B46,"")</f>
        <v/>
      </c>
      <c r="F28" s="91" t="str">
        <f>IF(OR(C28="Yes"),'2019 Data'!D24,"")</f>
        <v/>
      </c>
      <c r="G28" s="9" t="str">
        <f>IF(OR(C28="Yes"),Questions!B47,"")</f>
        <v/>
      </c>
      <c r="H28" s="87"/>
      <c r="I28" s="36" t="str">
        <f>IF(OR(C28="Yes"),Questions!B48,"")</f>
        <v/>
      </c>
      <c r="J28" s="50" t="str">
        <f t="shared" si="2"/>
        <v/>
      </c>
    </row>
    <row r="29" spans="1:11" ht="63" hidden="1" customHeight="1" x14ac:dyDescent="0.25">
      <c r="A29" s="253"/>
      <c r="B29" s="60" t="str">
        <f>Questions!B49</f>
        <v>Do you expect a change in the system's interest expenses?</v>
      </c>
      <c r="C29" s="33"/>
      <c r="D29" s="72"/>
      <c r="E29" s="2" t="str">
        <f>IF(OR(C29="Yes"),Questions!B50,"")</f>
        <v/>
      </c>
      <c r="F29" s="89" t="str">
        <f>IF(OR(C29="Yes"),'2019 Data'!D25,"")</f>
        <v/>
      </c>
      <c r="G29" s="2" t="str">
        <f>IF(OR(C29="Yes"),Questions!B51,"")</f>
        <v/>
      </c>
      <c r="H29" s="87"/>
      <c r="I29" s="34" t="str">
        <f>IF(OR(C29="Yes"),Questions!B52,"")</f>
        <v/>
      </c>
      <c r="J29" s="47" t="str">
        <f t="shared" si="2"/>
        <v/>
      </c>
    </row>
    <row r="30" spans="1:11" ht="63" hidden="1" customHeight="1" x14ac:dyDescent="0.25">
      <c r="A30" s="253"/>
      <c r="B30" s="247" t="str">
        <f>Questions!B53</f>
        <v>Have you incurred new expenses as a result of COVID-19?</v>
      </c>
      <c r="C30" s="239"/>
      <c r="D30" s="75"/>
      <c r="E30" s="255" t="str">
        <f>IF(OR(C30="Yes"),Questions!B54,"")</f>
        <v/>
      </c>
      <c r="F30" s="255"/>
      <c r="G30" s="256"/>
      <c r="H30" s="87"/>
      <c r="I30" s="36"/>
      <c r="J30" s="50" t="str">
        <f t="shared" si="2"/>
        <v/>
      </c>
      <c r="K30" s="44"/>
    </row>
    <row r="31" spans="1:11" ht="63" hidden="1" customHeight="1" x14ac:dyDescent="0.25">
      <c r="A31" s="253"/>
      <c r="B31" s="248"/>
      <c r="C31" s="240"/>
      <c r="D31" s="74"/>
      <c r="E31" s="255" t="str">
        <f>IF(OR(C30="Yes"),Questions!B57,"")</f>
        <v/>
      </c>
      <c r="F31" s="255"/>
      <c r="G31" s="256"/>
      <c r="H31" s="87"/>
      <c r="I31" s="36" t="str">
        <f>IF(OR(C31="Yes"),Questions!B51,"")</f>
        <v/>
      </c>
      <c r="J31" s="50" t="str">
        <f>IF(OR(C30="Yes"),SUM(H30-F30),"")</f>
        <v/>
      </c>
      <c r="K31" s="44"/>
    </row>
    <row r="32" spans="1:11" ht="63" hidden="1" customHeight="1" x14ac:dyDescent="0.25">
      <c r="A32" s="253"/>
      <c r="B32" s="62" t="str">
        <f>Questions!B58</f>
        <v>Do you have additional expenses that have not been identified?</v>
      </c>
      <c r="C32" s="33"/>
      <c r="D32" s="72"/>
      <c r="E32" s="10" t="str">
        <f>IF(OR(C32="Yes"),Questions!B59,"")</f>
        <v/>
      </c>
      <c r="F32" s="89" t="str">
        <f>IF(OR(C32="Yes"),'2019 Data'!D26,"")</f>
        <v/>
      </c>
      <c r="G32" s="10" t="str">
        <f>IF(OR(C32="Yes"),Questions!B60,"")</f>
        <v/>
      </c>
      <c r="H32" s="87"/>
      <c r="I32" s="34" t="str">
        <f>IF(OR(C32="Yes"),Questions!B61,"")</f>
        <v/>
      </c>
      <c r="J32" s="47" t="str">
        <f>IF(OR(C32="Yes"),SUM(H32-F32),"")</f>
        <v/>
      </c>
    </row>
    <row r="33" spans="1:11" ht="63" hidden="1" customHeight="1" x14ac:dyDescent="0.25">
      <c r="A33" s="254"/>
      <c r="B33" s="63"/>
      <c r="C33" s="9"/>
      <c r="D33" s="80"/>
      <c r="E33" s="12" t="s">
        <v>2</v>
      </c>
      <c r="F33" s="51">
        <f>SUM(F17:F32)</f>
        <v>0</v>
      </c>
      <c r="G33" s="12" t="s">
        <v>78</v>
      </c>
      <c r="H33" s="51">
        <f>SUM(H17:H32)</f>
        <v>0</v>
      </c>
      <c r="I33" s="26" t="s">
        <v>103</v>
      </c>
      <c r="J33" s="51">
        <f>SUM(J17:J32)</f>
        <v>0</v>
      </c>
    </row>
    <row r="34" spans="1:11" ht="63" customHeight="1" x14ac:dyDescent="0.25">
      <c r="A34" s="43" t="s">
        <v>18</v>
      </c>
      <c r="B34" s="59"/>
      <c r="C34" s="2"/>
      <c r="D34" s="82"/>
      <c r="E34" s="13" t="s">
        <v>3</v>
      </c>
      <c r="F34" s="49">
        <f>F14-F33</f>
        <v>0</v>
      </c>
      <c r="G34" s="14" t="s">
        <v>77</v>
      </c>
      <c r="H34" s="49">
        <f>H14-H33</f>
        <v>0</v>
      </c>
      <c r="I34" s="27" t="s">
        <v>4</v>
      </c>
      <c r="J34" s="49">
        <f>J14-J33</f>
        <v>0</v>
      </c>
    </row>
    <row r="35" spans="1:11" ht="75.75" customHeight="1" x14ac:dyDescent="0.25">
      <c r="A35" s="233" t="s">
        <v>13</v>
      </c>
      <c r="B35" s="81" t="str">
        <f>Questions!C2</f>
        <v>Has there been, or do you expect, a change in Accounts receivable?</v>
      </c>
      <c r="C35" s="33"/>
      <c r="D35" s="72"/>
      <c r="E35" s="113" t="str">
        <f>IF(OR(C35="Yes"),Questions!C13,"")</f>
        <v/>
      </c>
      <c r="F35" s="112" t="str">
        <f>IF(OR(C35="Yes"),'2019 Data'!D28,"")</f>
        <v/>
      </c>
      <c r="G35" s="111" t="str">
        <f>IF(OR(C35="Yes"),Questions!C14,"")</f>
        <v/>
      </c>
      <c r="H35" s="92"/>
      <c r="I35" s="38" t="str">
        <f>IF(OR(C35="Yes"),Questions!C28,"")</f>
        <v/>
      </c>
      <c r="J35" s="52" t="str">
        <f>IF(OR(C35="Yes"),SUM(F35-H35),"")</f>
        <v/>
      </c>
      <c r="K35" s="17"/>
    </row>
    <row r="36" spans="1:11" ht="75.75" customHeight="1" x14ac:dyDescent="0.25">
      <c r="A36" s="234"/>
      <c r="B36" s="96" t="str">
        <f>Questions!C3</f>
        <v>Has there been, or do you expect, a change in Accounts payable?</v>
      </c>
      <c r="C36" s="33"/>
      <c r="D36" s="72"/>
      <c r="E36" s="83" t="str">
        <f>IF(OR(C36="Yes"),Questions!C13,"")</f>
        <v/>
      </c>
      <c r="F36" s="93" t="str">
        <f>IF(OR(C36="Yes"),'2019 Data'!D29,"")</f>
        <v/>
      </c>
      <c r="G36" s="31" t="str">
        <f>IF(OR(C36="Yes"),Questions!C14,"")</f>
        <v/>
      </c>
      <c r="H36" s="92"/>
      <c r="I36" s="34" t="str">
        <f>IF(OR(C36="Yes"),Questions!C28,"")</f>
        <v/>
      </c>
      <c r="J36" s="47" t="str">
        <f>IF(OR(C36="Yes"),SUM(H36-F36),"")</f>
        <v/>
      </c>
    </row>
    <row r="37" spans="1:11" ht="75.75" customHeight="1" x14ac:dyDescent="0.25">
      <c r="A37" s="234"/>
      <c r="B37" s="81" t="str">
        <f>Questions!C4</f>
        <v>Will you delay pension fund contributions?</v>
      </c>
      <c r="C37" s="33"/>
      <c r="D37" s="72"/>
      <c r="E37" s="109" t="str">
        <f>IF(OR(C37="Yes"),Questions!C13,"")</f>
        <v/>
      </c>
      <c r="F37" s="110" t="str">
        <f>IF(OR(C37="Yes"),'2019 Data'!D30,"")</f>
        <v/>
      </c>
      <c r="G37" s="111" t="str">
        <f>IF(OR(C37="Yes"),Questions!C14,"")</f>
        <v/>
      </c>
      <c r="H37" s="92"/>
      <c r="I37" s="38" t="str">
        <f>IF(OR(C37="Yes"),Questions!C28,"")</f>
        <v/>
      </c>
      <c r="J37" s="52" t="str">
        <f>IF(OR(C37="Yes"),SUM(F37-H37),"")</f>
        <v/>
      </c>
      <c r="K37" s="44"/>
    </row>
    <row r="38" spans="1:11" ht="75.75" customHeight="1" x14ac:dyDescent="0.25">
      <c r="A38" s="234"/>
      <c r="B38" s="237" t="str">
        <f>Questions!C5</f>
        <v>Are there inter-agency funds transfers that have occurred, or that will occur?</v>
      </c>
      <c r="C38" s="239"/>
      <c r="D38" s="75"/>
      <c r="E38" s="83" t="str">
        <f>IF(OR(C38="Yes"),Questions!C15,"")</f>
        <v/>
      </c>
      <c r="F38" s="93" t="str">
        <f>IF(OR(C38="Yes"),'2019 Data'!D31,"")</f>
        <v/>
      </c>
      <c r="G38" s="31" t="str">
        <f>IF(OR(C38="Yes"),Questions!C16,"")</f>
        <v/>
      </c>
      <c r="H38" s="92"/>
      <c r="I38" s="34" t="str">
        <f>IF(OR(C38="Yes"),Questions!C28,"")</f>
        <v/>
      </c>
      <c r="J38" s="47" t="str">
        <f>IF(OR(C38="Yes"),SUM(F38-H38),"")</f>
        <v/>
      </c>
      <c r="K38" s="44"/>
    </row>
    <row r="39" spans="1:11" ht="75.75" customHeight="1" x14ac:dyDescent="0.25">
      <c r="A39" s="234"/>
      <c r="B39" s="238"/>
      <c r="C39" s="240"/>
      <c r="D39" s="74"/>
      <c r="E39" s="83" t="str">
        <f>IF(OR(C38="Yes"),Questions!C17,"")</f>
        <v/>
      </c>
      <c r="F39" s="93" t="str">
        <f>IF(OR(C38="Yes"),'2019 Data'!D32,"")</f>
        <v/>
      </c>
      <c r="G39" s="31" t="str">
        <f>IF(OR(C38="Yes"),Questions!C18,"")</f>
        <v/>
      </c>
      <c r="H39" s="92"/>
      <c r="I39" s="34" t="str">
        <f>IF(OR(C38="Yes"),Questions!C28,"")</f>
        <v/>
      </c>
      <c r="J39" s="47" t="str">
        <f>IF(OR(C38="Yes"),SUM(H39-F39),"")</f>
        <v/>
      </c>
      <c r="K39" s="44"/>
    </row>
    <row r="40" spans="1:11" ht="75.75" customHeight="1" x14ac:dyDescent="0.25">
      <c r="A40" s="234"/>
      <c r="B40" s="106" t="str">
        <f>Questions!C6</f>
        <v>Has there been, or do you expect, a change in the system's rate structure such as a delay in implementing a rate increase or temporary rate reductions?</v>
      </c>
      <c r="C40" s="33"/>
      <c r="D40" s="72"/>
      <c r="E40" s="58" t="str">
        <f>IF(OR(C40="Yes"),Questions!C19,"")</f>
        <v/>
      </c>
      <c r="F40" s="94" t="str">
        <f>IF(OR(C40="Yes"),'2019 Data'!D33,"")</f>
        <v/>
      </c>
      <c r="G40" s="37" t="str">
        <f>IF(OR(C40="Yes"),Questions!C20,"")</f>
        <v/>
      </c>
      <c r="H40" s="92"/>
      <c r="I40" s="38" t="str">
        <f>IF(OR(C40="Yes"),Questions!C28,"")</f>
        <v/>
      </c>
      <c r="J40" s="52" t="str">
        <f>IF(OR(C40="Yes"),SUM(H40-F40),"")</f>
        <v/>
      </c>
    </row>
    <row r="41" spans="1:11" ht="75.75" customHeight="1" x14ac:dyDescent="0.25">
      <c r="A41" s="234"/>
      <c r="B41" s="105" t="str">
        <f>Questions!C7</f>
        <v>Do you have a rate stabilization fund?</v>
      </c>
      <c r="C41" s="33"/>
      <c r="D41" s="72"/>
      <c r="E41" s="83" t="str">
        <f>IF(OR(C41="Yes"),Questions!C21,"")</f>
        <v/>
      </c>
      <c r="F41" s="93" t="str">
        <f>IF(OR(C41="Yes"),'2019 Data'!D34,"")</f>
        <v/>
      </c>
      <c r="G41" s="31" t="str">
        <f>IF(OR(C41="Yes"),Questions!C22,"")</f>
        <v/>
      </c>
      <c r="H41" s="92"/>
      <c r="I41" s="34" t="str">
        <f>IF(OR(C41="Yes"),Questions!C28,"")</f>
        <v/>
      </c>
      <c r="J41" s="47" t="str">
        <f>IF(OR(C41="Yes"),SUM(H41-F41),"")</f>
        <v/>
      </c>
    </row>
    <row r="42" spans="1:11" ht="75.75" customHeight="1" x14ac:dyDescent="0.25">
      <c r="A42" s="234"/>
      <c r="B42" s="106" t="str">
        <f>Questions!C8</f>
        <v>Has there been, or do you expect, a change in budgeted capital expenditures?</v>
      </c>
      <c r="C42" s="33"/>
      <c r="D42" s="72"/>
      <c r="E42" s="109" t="str">
        <f>IF(OR(C42="Yes"),Questions!C23,"")</f>
        <v/>
      </c>
      <c r="F42" s="110" t="str">
        <f>IF(OR(C42="Yes"),'2019 Data'!D35,"")</f>
        <v/>
      </c>
      <c r="G42" s="37" t="str">
        <f>IF(OR(C42="Yes"),Questions!C24,"")</f>
        <v/>
      </c>
      <c r="H42" s="92"/>
      <c r="I42" s="38" t="str">
        <f>IF(OR(C42="Yes"),Questions!C28,"")</f>
        <v/>
      </c>
      <c r="J42" s="52" t="str">
        <f>IF(OR(C42="Yes"),SUM(F42-H42),"")</f>
        <v/>
      </c>
      <c r="K42" s="44"/>
    </row>
    <row r="43" spans="1:11" ht="75.75" customHeight="1" x14ac:dyDescent="0.25">
      <c r="A43" s="234"/>
      <c r="B43" s="105" t="str">
        <f>Questions!C9</f>
        <v>Are there, or do you expect, a change in expenditures due to delayed construction projects?</v>
      </c>
      <c r="C43" s="33"/>
      <c r="D43" s="72"/>
      <c r="E43" s="231" t="str">
        <f>IF(OR(C43="Yes"),Questions!C25,"")</f>
        <v/>
      </c>
      <c r="F43" s="231"/>
      <c r="G43" s="232"/>
      <c r="H43" s="92"/>
      <c r="I43" s="34" t="str">
        <f>IF(OR(C43="Yes"),Questions!C28,"")</f>
        <v/>
      </c>
      <c r="J43" s="47" t="str">
        <f>IF(OR(C43="Yes"),H43,"")</f>
        <v/>
      </c>
      <c r="K43" s="44"/>
    </row>
    <row r="44" spans="1:11" ht="75.75" customHeight="1" x14ac:dyDescent="0.25">
      <c r="A44" s="234"/>
      <c r="B44" s="106" t="str">
        <f>Questions!C10</f>
        <v>Will you attempt to restructure existing debt?</v>
      </c>
      <c r="C44" s="33"/>
      <c r="D44" s="72"/>
      <c r="E44" s="229" t="str">
        <f>IF(OR(C44="Yes"),Questions!C25,"")</f>
        <v/>
      </c>
      <c r="F44" s="229"/>
      <c r="G44" s="230"/>
      <c r="H44" s="92"/>
      <c r="I44" s="38" t="str">
        <f>IF(OR(C44="Yes"),Questions!C28,"")</f>
        <v/>
      </c>
      <c r="J44" s="52" t="str">
        <f>IF(OR(C44="Yes"),H44,"")</f>
        <v/>
      </c>
      <c r="K44" s="44"/>
    </row>
    <row r="45" spans="1:11" ht="75.75" customHeight="1" x14ac:dyDescent="0.25">
      <c r="A45" s="234"/>
      <c r="B45" s="105" t="str">
        <f>Questions!C11</f>
        <v>Will you incur new debt?</v>
      </c>
      <c r="C45" s="33"/>
      <c r="D45" s="72"/>
      <c r="E45" s="231" t="str">
        <f>IF(OR(C45="Yes"),Questions!C25,"")</f>
        <v/>
      </c>
      <c r="F45" s="231"/>
      <c r="G45" s="232"/>
      <c r="H45" s="92"/>
      <c r="I45" s="114" t="str">
        <f>IF(OR(C45="Yes"),Questions!C28,"")</f>
        <v/>
      </c>
      <c r="J45" s="53" t="str">
        <f>IF(OR(C45="Yes"),H45,"")</f>
        <v/>
      </c>
      <c r="K45" s="44"/>
    </row>
    <row r="46" spans="1:11" ht="75.75" customHeight="1" x14ac:dyDescent="0.25">
      <c r="A46" s="235"/>
      <c r="B46" s="108" t="str">
        <f>Questions!C12</f>
        <v>Do you have available cash on hand?</v>
      </c>
      <c r="C46" s="66"/>
      <c r="D46" s="72"/>
      <c r="E46" s="229" t="str">
        <f>IF(OR(C46="Yes"),Questions!C26,"")</f>
        <v/>
      </c>
      <c r="F46" s="229"/>
      <c r="G46" s="230"/>
      <c r="H46" s="32"/>
      <c r="I46" s="38" t="str">
        <f>IF(OR(C46="Yes"),Questions!C28,"")</f>
        <v/>
      </c>
      <c r="J46" s="52" t="str">
        <f>IF(OR(C46="Yes"),H46,"")</f>
        <v/>
      </c>
      <c r="K46" s="44"/>
    </row>
    <row r="47" spans="1:11" ht="75.75" customHeight="1" x14ac:dyDescent="0.25">
      <c r="A47" s="235"/>
      <c r="B47" s="59" t="s">
        <v>254</v>
      </c>
      <c r="C47" s="33"/>
      <c r="D47" s="72"/>
      <c r="E47" s="231" t="str">
        <f>IF(OR(C47="Yes"),Questions!C27,"")</f>
        <v/>
      </c>
      <c r="F47" s="231"/>
      <c r="G47" s="232"/>
      <c r="H47" s="107"/>
      <c r="I47" s="34" t="str">
        <f>IF(OR(C47="Yes"),Questions!C28,"")</f>
        <v/>
      </c>
      <c r="J47" s="47" t="str">
        <f>IF(OR(C47="Yes"),H47,"")</f>
        <v/>
      </c>
      <c r="K47" s="44"/>
    </row>
    <row r="48" spans="1:11" ht="75.75" customHeight="1" x14ac:dyDescent="0.25">
      <c r="A48" s="236"/>
      <c r="B48" s="61"/>
      <c r="C48" s="85"/>
      <c r="D48" s="58"/>
      <c r="E48" s="84" t="s">
        <v>93</v>
      </c>
      <c r="F48" s="65">
        <f>SUM(F35:F47)</f>
        <v>0</v>
      </c>
      <c r="G48" s="45" t="s">
        <v>98</v>
      </c>
      <c r="H48" s="65">
        <f>SUM(H35:H47)</f>
        <v>0</v>
      </c>
      <c r="I48" s="56" t="s">
        <v>99</v>
      </c>
      <c r="J48" s="57">
        <f>SUM(J35:J47)</f>
        <v>0</v>
      </c>
    </row>
    <row r="49" spans="10:10" x14ac:dyDescent="0.25">
      <c r="J49" s="25"/>
    </row>
  </sheetData>
  <mergeCells count="19">
    <mergeCell ref="C17:C18"/>
    <mergeCell ref="B30:B31"/>
    <mergeCell ref="C30:C31"/>
    <mergeCell ref="A1:J1"/>
    <mergeCell ref="E30:G30"/>
    <mergeCell ref="E31:G31"/>
    <mergeCell ref="A2:A14"/>
    <mergeCell ref="B2:B3"/>
    <mergeCell ref="A15:A33"/>
    <mergeCell ref="B15:B16"/>
    <mergeCell ref="B17:B18"/>
    <mergeCell ref="A35:A48"/>
    <mergeCell ref="B38:B39"/>
    <mergeCell ref="C38:C39"/>
    <mergeCell ref="E44:G44"/>
    <mergeCell ref="E45:G45"/>
    <mergeCell ref="E46:G46"/>
    <mergeCell ref="E43:G43"/>
    <mergeCell ref="E47:G47"/>
  </mergeCells>
  <dataValidations count="1">
    <dataValidation type="list" allowBlank="1" showInputMessage="1" showErrorMessage="1" sqref="C4:C13 C17:C32 C35:C38 C40:C47 F9" xr:uid="{B6F1DBFE-5A42-460B-8409-A646B18B5CBE}">
      <formula1>"Yes,No"</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8673" r:id="rId4" name="CommandButton1">
          <controlPr defaultSize="0" autoLine="0" r:id="rId5">
            <anchor moveWithCells="1">
              <from>
                <xdr:col>2</xdr:col>
                <xdr:colOff>200025</xdr:colOff>
                <xdr:row>1</xdr:row>
                <xdr:rowOff>95250</xdr:rowOff>
              </from>
              <to>
                <xdr:col>2</xdr:col>
                <xdr:colOff>828675</xdr:colOff>
                <xdr:row>1</xdr:row>
                <xdr:rowOff>666750</xdr:rowOff>
              </to>
            </anchor>
          </controlPr>
        </control>
      </mc:Choice>
      <mc:Fallback>
        <control shapeId="28673" r:id="rId4" name="CommandButton1"/>
      </mc:Fallback>
    </mc:AlternateContent>
    <mc:AlternateContent xmlns:mc="http://schemas.openxmlformats.org/markup-compatibility/2006">
      <mc:Choice Requires="x14">
        <control shapeId="28674" r:id="rId6" name="CommandButton2">
          <controlPr defaultSize="0" autoLine="0" r:id="rId7">
            <anchor moveWithCells="1">
              <from>
                <xdr:col>2</xdr:col>
                <xdr:colOff>200025</xdr:colOff>
                <xdr:row>2</xdr:row>
                <xdr:rowOff>85725</xdr:rowOff>
              </from>
              <to>
                <xdr:col>2</xdr:col>
                <xdr:colOff>809625</xdr:colOff>
                <xdr:row>2</xdr:row>
                <xdr:rowOff>647700</xdr:rowOff>
              </to>
            </anchor>
          </controlPr>
        </control>
      </mc:Choice>
      <mc:Fallback>
        <control shapeId="28674" r:id="rId6" name="CommandButton2"/>
      </mc:Fallback>
    </mc:AlternateContent>
    <mc:AlternateContent xmlns:mc="http://schemas.openxmlformats.org/markup-compatibility/2006">
      <mc:Choice Requires="x14">
        <control shapeId="28675" r:id="rId8" name="CommandButton3">
          <controlPr defaultSize="0" autoLine="0" r:id="rId9">
            <anchor moveWithCells="1">
              <from>
                <xdr:col>2</xdr:col>
                <xdr:colOff>180975</xdr:colOff>
                <xdr:row>14</xdr:row>
                <xdr:rowOff>133350</xdr:rowOff>
              </from>
              <to>
                <xdr:col>2</xdr:col>
                <xdr:colOff>800100</xdr:colOff>
                <xdr:row>14</xdr:row>
                <xdr:rowOff>695325</xdr:rowOff>
              </to>
            </anchor>
          </controlPr>
        </control>
      </mc:Choice>
      <mc:Fallback>
        <control shapeId="28675" r:id="rId8" name="CommandButton3"/>
      </mc:Fallback>
    </mc:AlternateContent>
    <mc:AlternateContent xmlns:mc="http://schemas.openxmlformats.org/markup-compatibility/2006">
      <mc:Choice Requires="x14">
        <control shapeId="28676" r:id="rId10" name="CommandButton4">
          <controlPr defaultSize="0" autoLine="0" r:id="rId11">
            <anchor moveWithCells="1">
              <from>
                <xdr:col>2</xdr:col>
                <xdr:colOff>190500</xdr:colOff>
                <xdr:row>15</xdr:row>
                <xdr:rowOff>114300</xdr:rowOff>
              </from>
              <to>
                <xdr:col>2</xdr:col>
                <xdr:colOff>809625</xdr:colOff>
                <xdr:row>15</xdr:row>
                <xdr:rowOff>666750</xdr:rowOff>
              </to>
            </anchor>
          </controlPr>
        </control>
      </mc:Choice>
      <mc:Fallback>
        <control shapeId="28676" r:id="rId10" name="CommandButton4"/>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40ADA-7C96-4012-BF83-4FD50C80D9B6}">
  <sheetPr codeName="Sheet5">
    <tabColor theme="7"/>
  </sheetPr>
  <dimension ref="A1:K49"/>
  <sheetViews>
    <sheetView zoomScaleNormal="100" workbookViewId="0">
      <pane ySplit="1" topLeftCell="A2" activePane="bottomLeft" state="frozen"/>
      <selection activeCell="K3" sqref="K3"/>
      <selection pane="bottomLeft" activeCell="A2" sqref="A2:A14"/>
    </sheetView>
  </sheetViews>
  <sheetFormatPr defaultColWidth="9.140625" defaultRowHeight="15" x14ac:dyDescent="0.25"/>
  <cols>
    <col min="1" max="1" width="10.7109375" style="15" customWidth="1"/>
    <col min="2" max="2" width="28.140625" style="16" customWidth="1"/>
    <col min="3" max="3" width="14" style="17" customWidth="1"/>
    <col min="4" max="4" width="2.7109375" style="4" customWidth="1"/>
    <col min="5" max="5" width="28.42578125" style="17" customWidth="1"/>
    <col min="6" max="6" width="17.7109375" style="18" customWidth="1"/>
    <col min="7" max="7" width="31.140625" style="17" customWidth="1"/>
    <col min="8" max="8" width="17.7109375" style="18" customWidth="1"/>
    <col min="9" max="9" width="23.140625" style="25" customWidth="1"/>
    <col min="10" max="10" width="17.7109375" style="19" customWidth="1"/>
    <col min="11" max="11" width="22.7109375" style="4" bestFit="1" customWidth="1"/>
    <col min="12" max="16384" width="9.140625" style="4"/>
  </cols>
  <sheetData>
    <row r="1" spans="1:10" s="1" customFormat="1" ht="27.75" customHeight="1" thickTop="1" x14ac:dyDescent="0.25">
      <c r="A1" s="241" t="s">
        <v>166</v>
      </c>
      <c r="B1" s="242"/>
      <c r="C1" s="242"/>
      <c r="D1" s="242"/>
      <c r="E1" s="242"/>
      <c r="F1" s="242"/>
      <c r="G1" s="242"/>
      <c r="H1" s="242"/>
      <c r="I1" s="242"/>
      <c r="J1" s="242"/>
    </row>
    <row r="2" spans="1:10" ht="63" customHeight="1" x14ac:dyDescent="0.25">
      <c r="A2" s="249" t="s">
        <v>1</v>
      </c>
      <c r="B2" s="243" t="s">
        <v>11</v>
      </c>
      <c r="C2" s="66"/>
      <c r="D2" s="75"/>
      <c r="E2" s="2"/>
      <c r="F2" s="3"/>
      <c r="G2" s="2"/>
      <c r="H2" s="3"/>
      <c r="I2" s="24"/>
      <c r="J2" s="53"/>
    </row>
    <row r="3" spans="1:10" ht="63" customHeight="1" x14ac:dyDescent="0.25">
      <c r="A3" s="250"/>
      <c r="B3" s="244"/>
      <c r="C3" s="68"/>
      <c r="D3" s="76"/>
      <c r="E3" s="73" t="s">
        <v>87</v>
      </c>
      <c r="F3" s="11"/>
      <c r="G3" s="10"/>
      <c r="H3" s="11"/>
      <c r="I3" s="54"/>
      <c r="J3" s="55"/>
    </row>
    <row r="4" spans="1:10" ht="63" hidden="1" customHeight="1" x14ac:dyDescent="0.25">
      <c r="A4" s="250"/>
      <c r="B4" s="42" t="str">
        <f>Questions!A2</f>
        <v>Have commercial/industrial revenues been impacted?</v>
      </c>
      <c r="C4" s="68"/>
      <c r="D4" s="74"/>
      <c r="E4" s="30" t="str">
        <f>IF(OR(C4="Yes"),Questions!A3,"")</f>
        <v/>
      </c>
      <c r="F4" s="88" t="str">
        <f>IF(OR(C4="Yes"),'2019 Data'!D3,"")</f>
        <v/>
      </c>
      <c r="G4" s="30" t="str">
        <f>IF(OR(C4="Yes"),Questions!A4,"")</f>
        <v/>
      </c>
      <c r="H4" s="86"/>
      <c r="I4" s="70" t="str">
        <f>IF(OR(C4="Yes"),Questions!A5,"")</f>
        <v/>
      </c>
      <c r="J4" s="71" t="str">
        <f t="shared" ref="J4:J13" si="0">IF(OR(C4="Yes"),SUM(H4-F4),"")</f>
        <v/>
      </c>
    </row>
    <row r="5" spans="1:10" ht="63" hidden="1" customHeight="1" x14ac:dyDescent="0.25">
      <c r="A5" s="250"/>
      <c r="B5" s="60" t="str">
        <f>Questions!A6</f>
        <v>Have residential revenues been impacted?</v>
      </c>
      <c r="C5" s="33"/>
      <c r="D5" s="74"/>
      <c r="E5" s="6" t="str">
        <f>IF(OR(C5="Yes"),Questions!A7,"")</f>
        <v/>
      </c>
      <c r="F5" s="89" t="str">
        <f>IF(OR(C5="Yes"),'2019 Data'!D4,"")</f>
        <v/>
      </c>
      <c r="G5" s="6" t="str">
        <f>IF(OR(C5="Yes"),Questions!A8,"")</f>
        <v/>
      </c>
      <c r="H5" s="87"/>
      <c r="I5" s="34" t="str">
        <f>IF(OR(C5="Yes"),Questions!A9,"")</f>
        <v/>
      </c>
      <c r="J5" s="47" t="str">
        <f t="shared" si="0"/>
        <v/>
      </c>
    </row>
    <row r="6" spans="1:10" ht="63" hidden="1" customHeight="1" x14ac:dyDescent="0.25">
      <c r="A6" s="250"/>
      <c r="B6" s="42" t="str">
        <f>Questions!A10</f>
        <v>Do you sell wholesale water/wastewater treatment?</v>
      </c>
      <c r="C6" s="33"/>
      <c r="D6" s="74"/>
      <c r="E6" s="5" t="str">
        <f>IF(OR(C6="Yes"),Questions!A11,"")</f>
        <v/>
      </c>
      <c r="F6" s="88" t="str">
        <f>IF(OR(C6="Yes"),'2019 Data'!D5,"")</f>
        <v/>
      </c>
      <c r="G6" s="5" t="str">
        <f>IF(OR(C6="Yes"),Questions!A12,"")</f>
        <v/>
      </c>
      <c r="H6" s="87"/>
      <c r="I6" s="35" t="str">
        <f>IF(OR(C6="Yes"),Questions!A13,"")</f>
        <v/>
      </c>
      <c r="J6" s="46" t="str">
        <f t="shared" si="0"/>
        <v/>
      </c>
    </row>
    <row r="7" spans="1:10" ht="63" hidden="1" customHeight="1" x14ac:dyDescent="0.25">
      <c r="A7" s="250"/>
      <c r="B7" s="60" t="str">
        <f>Questions!A14</f>
        <v>Do you charge connection/tap fees?</v>
      </c>
      <c r="C7" s="33"/>
      <c r="D7" s="74"/>
      <c r="E7" s="6" t="str">
        <f>IF(OR(C7="Yes"),Questions!A15,"")</f>
        <v/>
      </c>
      <c r="F7" s="89" t="str">
        <f>IF(OR(C7="Yes"),'2019 Data'!D6,"")</f>
        <v/>
      </c>
      <c r="G7" s="6" t="str">
        <f>IF(OR(C7="Yes"),Questions!A16,"")</f>
        <v/>
      </c>
      <c r="H7" s="87"/>
      <c r="I7" s="34" t="str">
        <f>IF(OR(C7="Yes"),Questions!A17,"")</f>
        <v/>
      </c>
      <c r="J7" s="47" t="str">
        <f t="shared" si="0"/>
        <v/>
      </c>
    </row>
    <row r="8" spans="1:10" ht="63" hidden="1" customHeight="1" x14ac:dyDescent="0.25">
      <c r="A8" s="250"/>
      <c r="B8" s="95" t="str">
        <f>Questions!A18</f>
        <v>Are you suspending late fees?</v>
      </c>
      <c r="C8" s="33"/>
      <c r="D8" s="74"/>
      <c r="E8" s="6" t="str">
        <f>IF(OR(C8="Yes"),Questions!A19,"")</f>
        <v/>
      </c>
      <c r="F8" s="89" t="str">
        <f>IF(OR(C8="Yes"),'2019 Data'!D7,"")</f>
        <v/>
      </c>
      <c r="G8" s="6" t="str">
        <f>IF(OR(C8="Yes"),Questions!A20,"")</f>
        <v/>
      </c>
      <c r="H8" s="87"/>
      <c r="I8" s="34" t="str">
        <f>IF(OR(C8="Yes"),Questions!A21,"")</f>
        <v/>
      </c>
      <c r="J8" s="47" t="str">
        <f t="shared" si="0"/>
        <v/>
      </c>
    </row>
    <row r="9" spans="1:10" ht="63" hidden="1" customHeight="1" x14ac:dyDescent="0.25">
      <c r="A9" s="250"/>
      <c r="B9" s="95" t="str">
        <f>Questions!A22</f>
        <v>Are you suspending shutoffs?</v>
      </c>
      <c r="C9" s="33"/>
      <c r="D9" s="74"/>
      <c r="E9" s="6" t="str">
        <f>IF(OR(C9="Yes"),Questions!A23,"")</f>
        <v/>
      </c>
      <c r="F9" s="115"/>
      <c r="G9" s="6" t="str">
        <f>IF(OR(F9="Yes"),Questions!A24,"")</f>
        <v/>
      </c>
      <c r="H9" s="87"/>
      <c r="I9" s="34" t="str">
        <f>IF(OR(F9="Yes"),Questions!A25,"")</f>
        <v/>
      </c>
      <c r="J9" s="47" t="str">
        <f>IF(OR(F9="Yes"),-H9,"")</f>
        <v/>
      </c>
    </row>
    <row r="10" spans="1:10" ht="63" hidden="1" customHeight="1" x14ac:dyDescent="0.25">
      <c r="A10" s="250"/>
      <c r="B10" s="42" t="str">
        <f>Questions!A26</f>
        <v>Does your system receive tax revenue either directly or from a parent agency?</v>
      </c>
      <c r="C10" s="33"/>
      <c r="D10" s="74"/>
      <c r="E10" s="5" t="str">
        <f>IF(OR(C10="Yes"),Questions!A27,"")</f>
        <v/>
      </c>
      <c r="F10" s="88" t="str">
        <f>IF(OR(C10="Yes"),'2019 Data'!D8,"")</f>
        <v/>
      </c>
      <c r="G10" s="29" t="str">
        <f>IF(OR(C10="Yes"),Questions!A28,"")</f>
        <v/>
      </c>
      <c r="H10" s="87"/>
      <c r="I10" s="35" t="str">
        <f>IF(OR(C10="Yes"),Questions!A29,"")</f>
        <v/>
      </c>
      <c r="J10" s="46" t="str">
        <f t="shared" si="0"/>
        <v/>
      </c>
    </row>
    <row r="11" spans="1:10" ht="63" hidden="1" customHeight="1" x14ac:dyDescent="0.25">
      <c r="A11" s="250"/>
      <c r="B11" s="60" t="str">
        <f>Questions!A30</f>
        <v>Do you sell byproducts (e.g., biosolids, electricity, etc.)?</v>
      </c>
      <c r="C11" s="33"/>
      <c r="D11" s="74"/>
      <c r="E11" s="6" t="str">
        <f>IF(OR(C11="Yes"),Questions!A31,"")</f>
        <v/>
      </c>
      <c r="F11" s="89" t="str">
        <f>IF(OR(C11="Yes"),'2019 Data'!D9,"")</f>
        <v/>
      </c>
      <c r="G11" s="83" t="str">
        <f>IF(OR(C11="Yes"),Questions!A32,"")</f>
        <v/>
      </c>
      <c r="H11" s="87"/>
      <c r="I11" s="34" t="str">
        <f>IF(OR(C11="Yes"),Questions!A33,"")</f>
        <v/>
      </c>
      <c r="J11" s="47" t="str">
        <f t="shared" si="0"/>
        <v/>
      </c>
    </row>
    <row r="12" spans="1:10" ht="63" hidden="1" customHeight="1" x14ac:dyDescent="0.25">
      <c r="A12" s="250"/>
      <c r="B12" s="42" t="str">
        <f>Questions!A34</f>
        <v>Do you generate interest income from cash on hand?</v>
      </c>
      <c r="C12" s="33"/>
      <c r="D12" s="74"/>
      <c r="E12" s="5" t="str">
        <f>IF(OR(C12="Yes"),Questions!A35,"")</f>
        <v/>
      </c>
      <c r="F12" s="88" t="str">
        <f>IF(OR(C12="Yes"),'2019 Data'!D10,"")</f>
        <v/>
      </c>
      <c r="G12" s="30" t="str">
        <f>IF(OR(C12="Yes"),Questions!A36,"")</f>
        <v/>
      </c>
      <c r="H12" s="87"/>
      <c r="I12" s="35" t="str">
        <f>IF(OR(C12="Yes"),Questions!A37,"")</f>
        <v/>
      </c>
      <c r="J12" s="46" t="str">
        <f t="shared" si="0"/>
        <v/>
      </c>
    </row>
    <row r="13" spans="1:10" ht="63" hidden="1" customHeight="1" x14ac:dyDescent="0.25">
      <c r="A13" s="250"/>
      <c r="B13" s="62" t="str">
        <f>Questions!A38</f>
        <v>Do you have additional revenue streams that have not been identified?</v>
      </c>
      <c r="C13" s="66"/>
      <c r="D13" s="77"/>
      <c r="E13" s="7" t="str">
        <f>IF(OR(C13="Yes"),Questions!A39,"")</f>
        <v/>
      </c>
      <c r="F13" s="90" t="str">
        <f>IF(OR(C13="Yes"),'2019 Data'!D11,"")</f>
        <v/>
      </c>
      <c r="G13" s="6" t="str">
        <f>IF(OR(C13="Yes"),Questions!A40,"")</f>
        <v/>
      </c>
      <c r="H13" s="87"/>
      <c r="I13" s="34" t="str">
        <f>IF(OR(C13="Yes"),Questions!A41,"")</f>
        <v/>
      </c>
      <c r="J13" s="47" t="str">
        <f t="shared" si="0"/>
        <v/>
      </c>
    </row>
    <row r="14" spans="1:10" ht="63" hidden="1" customHeight="1" x14ac:dyDescent="0.25">
      <c r="A14" s="251"/>
      <c r="B14" s="78"/>
      <c r="C14" s="29"/>
      <c r="D14" s="79"/>
      <c r="E14" s="8" t="s">
        <v>0</v>
      </c>
      <c r="F14" s="48">
        <f>SUM(F2:F13)</f>
        <v>0</v>
      </c>
      <c r="G14" s="8" t="s">
        <v>102</v>
      </c>
      <c r="H14" s="48">
        <f>SUM(H2:H13)</f>
        <v>0</v>
      </c>
      <c r="I14" s="28" t="s">
        <v>100</v>
      </c>
      <c r="J14" s="48">
        <f>SUM(J2:J13)</f>
        <v>0</v>
      </c>
    </row>
    <row r="15" spans="1:10" ht="63" customHeight="1" x14ac:dyDescent="0.25">
      <c r="A15" s="252" t="s">
        <v>9</v>
      </c>
      <c r="B15" s="245" t="s">
        <v>298</v>
      </c>
      <c r="C15" s="66"/>
      <c r="D15" s="75"/>
      <c r="E15" s="2"/>
      <c r="F15" s="3"/>
      <c r="G15" s="2"/>
      <c r="H15" s="3"/>
      <c r="I15" s="24"/>
      <c r="J15" s="53"/>
    </row>
    <row r="16" spans="1:10" ht="63" customHeight="1" x14ac:dyDescent="0.25">
      <c r="A16" s="253"/>
      <c r="B16" s="246"/>
      <c r="C16" s="67"/>
      <c r="D16" s="77"/>
      <c r="E16" s="73" t="s">
        <v>245</v>
      </c>
      <c r="F16" s="11"/>
      <c r="G16" s="10"/>
      <c r="H16" s="11"/>
      <c r="I16" s="54"/>
      <c r="J16" s="55"/>
    </row>
    <row r="17" spans="1:11" ht="63" hidden="1" customHeight="1" x14ac:dyDescent="0.25">
      <c r="A17" s="253"/>
      <c r="B17" s="247" t="str">
        <f>Questions!B2</f>
        <v>Have your labor costs, regular and overtime, changed?</v>
      </c>
      <c r="C17" s="239"/>
      <c r="D17" s="75"/>
      <c r="E17" s="9" t="str">
        <f>IF(OR(C17="Yes"),Questions!B3,"")</f>
        <v/>
      </c>
      <c r="F17" s="91" t="str">
        <f>IF(OR(C17="Yes"),'2019 Data'!D13,"")</f>
        <v/>
      </c>
      <c r="G17" s="9" t="str">
        <f>IF(OR(C17="Yes"),Questions!B4,"")</f>
        <v/>
      </c>
      <c r="H17" s="87"/>
      <c r="I17" s="36" t="str">
        <f>IF(OR(C17="Yes"),Questions!B5,"")</f>
        <v/>
      </c>
      <c r="J17" s="50" t="str">
        <f>IF(OR(C17="Yes"),SUM(H17-F17),"")</f>
        <v/>
      </c>
    </row>
    <row r="18" spans="1:11" ht="63" hidden="1" customHeight="1" x14ac:dyDescent="0.25">
      <c r="A18" s="253"/>
      <c r="B18" s="248"/>
      <c r="C18" s="240"/>
      <c r="D18" s="77"/>
      <c r="E18" s="9" t="str">
        <f>IF(OR(C17="Yes"),Questions!B6,"")</f>
        <v/>
      </c>
      <c r="F18" s="91" t="str">
        <f>IF(OR(C17="Yes"),'2019 Data'!D14,"")</f>
        <v/>
      </c>
      <c r="G18" s="9" t="str">
        <f>IF(OR(C17="Yes"),Questions!B7,"")</f>
        <v/>
      </c>
      <c r="H18" s="87"/>
      <c r="I18" s="36" t="str">
        <f>IF(OR(C17="Yes"),Questions!B8,"")</f>
        <v/>
      </c>
      <c r="J18" s="50" t="str">
        <f>IF(OR(C17="Yes"),SUM(H18-F18),"")</f>
        <v/>
      </c>
    </row>
    <row r="19" spans="1:11" ht="63" hidden="1" customHeight="1" x14ac:dyDescent="0.25">
      <c r="A19" s="253"/>
      <c r="B19" s="95" t="str">
        <f>Questions!B9</f>
        <v>Do you purchase water for resale?</v>
      </c>
      <c r="C19" s="33"/>
      <c r="D19" s="72"/>
      <c r="E19" s="10" t="str">
        <f>IF(OR(C19="Yes"),Questions!B10,"")</f>
        <v/>
      </c>
      <c r="F19" s="89" t="str">
        <f>IF(OR(C19="Yes"),'2019 Data'!D15,"")</f>
        <v/>
      </c>
      <c r="G19" s="10" t="str">
        <f>IF(OR(C19="Yes"),Questions!B11,"")</f>
        <v/>
      </c>
      <c r="H19" s="87"/>
      <c r="I19" s="34" t="str">
        <f>IF(OR(C19="Yes"),Questions!B12,"")</f>
        <v/>
      </c>
      <c r="J19" s="47" t="str">
        <f t="shared" ref="J19:J22" si="1">IF(OR(C19="Yes"),SUM(H19-F19),"")</f>
        <v/>
      </c>
    </row>
    <row r="20" spans="1:11" ht="63" hidden="1" customHeight="1" x14ac:dyDescent="0.25">
      <c r="A20" s="253"/>
      <c r="B20" s="97" t="s">
        <v>193</v>
      </c>
      <c r="C20" s="33"/>
      <c r="D20" s="72"/>
      <c r="E20" s="69" t="str">
        <f>IF(OR(C20="Yes"),Questions!B14,"")</f>
        <v/>
      </c>
      <c r="F20" s="91" t="str">
        <f>IF(OR(C20="Yes"),'2019 Data'!D16,"")</f>
        <v/>
      </c>
      <c r="G20" s="69" t="str">
        <f>IF(OR(C20="Yes"),Questions!B15,"")</f>
        <v/>
      </c>
      <c r="H20" s="87"/>
      <c r="I20" s="36" t="str">
        <f>IF(OR(C20="Yes"),Questions!B16,"")</f>
        <v/>
      </c>
      <c r="J20" s="50" t="str">
        <f t="shared" si="1"/>
        <v/>
      </c>
    </row>
    <row r="21" spans="1:11" ht="63" hidden="1" customHeight="1" x14ac:dyDescent="0.25">
      <c r="A21" s="253"/>
      <c r="B21" s="95" t="str">
        <f>Questions!B17</f>
        <v>Have your chemical usages changed?</v>
      </c>
      <c r="C21" s="33"/>
      <c r="D21" s="72"/>
      <c r="E21" s="6" t="str">
        <f>IF(OR(C21="Yes"),Questions!B18,"")</f>
        <v/>
      </c>
      <c r="F21" s="89" t="str">
        <f>IF(OR(C21="Yes"),'2019 Data'!D17,"")</f>
        <v/>
      </c>
      <c r="G21" s="6" t="str">
        <f>IF(OR(C21="Yes"),Questions!B19,"")</f>
        <v/>
      </c>
      <c r="H21" s="87"/>
      <c r="I21" s="34" t="str">
        <f>IF(OR(C21="Yes"),Questions!B20,"")</f>
        <v/>
      </c>
      <c r="J21" s="47" t="str">
        <f t="shared" si="1"/>
        <v/>
      </c>
    </row>
    <row r="22" spans="1:11" ht="63" hidden="1" customHeight="1" x14ac:dyDescent="0.25">
      <c r="A22" s="253"/>
      <c r="B22" s="97" t="str">
        <f>Questions!B21</f>
        <v>Have your disposal costs changed?</v>
      </c>
      <c r="C22" s="33"/>
      <c r="D22" s="72"/>
      <c r="E22" s="9" t="str">
        <f>IF(OR(C22="Yes"),Questions!B22,"")</f>
        <v/>
      </c>
      <c r="F22" s="91" t="str">
        <f>IF(OR(C22="Yes"),'2019 Data'!D18,"")</f>
        <v/>
      </c>
      <c r="G22" s="9" t="str">
        <f>IF(OR(C22="Yes"),Questions!B23,"")</f>
        <v/>
      </c>
      <c r="H22" s="87"/>
      <c r="I22" s="36" t="str">
        <f>IF(OR(C22="Yes"),Questions!B24,"")</f>
        <v/>
      </c>
      <c r="J22" s="50" t="str">
        <f t="shared" si="1"/>
        <v/>
      </c>
    </row>
    <row r="23" spans="1:11" ht="63" hidden="1" customHeight="1" x14ac:dyDescent="0.25">
      <c r="A23" s="253"/>
      <c r="B23" s="60" t="str">
        <f>Questions!B25</f>
        <v>Have your testing expenses changed?</v>
      </c>
      <c r="C23" s="33"/>
      <c r="D23" s="72"/>
      <c r="E23" s="6" t="str">
        <f>IF(OR(C23="Yes"),Questions!B26,"")</f>
        <v/>
      </c>
      <c r="F23" s="89" t="str">
        <f>IF(OR(C23="Yes"),'2019 Data'!D19,"")</f>
        <v/>
      </c>
      <c r="G23" s="6" t="str">
        <f>IF(OR(C23="Yes"),Questions!B27,"")</f>
        <v/>
      </c>
      <c r="H23" s="87"/>
      <c r="I23" s="34" t="str">
        <f>IF(OR(C23="Yes"),Questions!B28,"")</f>
        <v/>
      </c>
      <c r="J23" s="47" t="str">
        <f t="shared" ref="J23:J30" si="2">IF(OR(C23="Yes"),SUM(H23-F23),"")</f>
        <v/>
      </c>
    </row>
    <row r="24" spans="1:11" ht="63" hidden="1" customHeight="1" x14ac:dyDescent="0.25">
      <c r="A24" s="253"/>
      <c r="B24" s="64" t="str">
        <f>Questions!B29</f>
        <v>Has there been a change in the system's energy bill?</v>
      </c>
      <c r="C24" s="33"/>
      <c r="D24" s="72"/>
      <c r="E24" s="9" t="str">
        <f>IF(OR(C24="Yes"),Questions!B30,"")</f>
        <v/>
      </c>
      <c r="F24" s="91" t="str">
        <f>IF(OR(C24="Yes"),'2019 Data'!D20,"")</f>
        <v/>
      </c>
      <c r="G24" s="9" t="str">
        <f>IF(OR(C24="Yes"),Questions!B31,"")</f>
        <v/>
      </c>
      <c r="H24" s="87"/>
      <c r="I24" s="36" t="str">
        <f>IF(OR(C24="Yes"),Questions!B32,"")</f>
        <v/>
      </c>
      <c r="J24" s="50" t="str">
        <f t="shared" si="2"/>
        <v/>
      </c>
    </row>
    <row r="25" spans="1:11" ht="63" hidden="1" customHeight="1" x14ac:dyDescent="0.25">
      <c r="A25" s="253"/>
      <c r="B25" s="60" t="str">
        <f>Questions!B33</f>
        <v>Has there been a change in the system's other utility services?</v>
      </c>
      <c r="C25" s="33"/>
      <c r="D25" s="72"/>
      <c r="E25" s="7" t="str">
        <f>IF(OR(C25="Yes"),Questions!B34,"")</f>
        <v/>
      </c>
      <c r="F25" s="90" t="str">
        <f>IF(OR(C25="Yes"),'2019 Data'!D21,"")</f>
        <v/>
      </c>
      <c r="G25" s="6" t="str">
        <f>IF(OR(C25="Yes"),Questions!B35,"")</f>
        <v/>
      </c>
      <c r="H25" s="87"/>
      <c r="I25" s="34" t="str">
        <f>IF(OR(C25="Yes"),Questions!B36,"")</f>
        <v/>
      </c>
      <c r="J25" s="47" t="str">
        <f t="shared" si="2"/>
        <v/>
      </c>
    </row>
    <row r="26" spans="1:11" ht="63" hidden="1" customHeight="1" x14ac:dyDescent="0.25">
      <c r="A26" s="253"/>
      <c r="B26" s="64" t="str">
        <f>Questions!B37</f>
        <v>Has there been a change in use of supplies (supply chains)?</v>
      </c>
      <c r="C26" s="33"/>
      <c r="D26" s="72"/>
      <c r="E26" s="9" t="str">
        <f>IF(OR(C26="Yes"),Questions!B38,"")</f>
        <v/>
      </c>
      <c r="F26" s="91" t="str">
        <f>IF(OR(C26="Yes"),'2019 Data'!D22,"")</f>
        <v/>
      </c>
      <c r="G26" s="9" t="str">
        <f>IF(OR(C26="Yes"),Questions!B39,"")</f>
        <v/>
      </c>
      <c r="H26" s="87"/>
      <c r="I26" s="36" t="str">
        <f>IF(OR(C26="Yes"),Questions!B40,"")</f>
        <v/>
      </c>
      <c r="J26" s="50" t="str">
        <f t="shared" si="2"/>
        <v/>
      </c>
    </row>
    <row r="27" spans="1:11" ht="63" hidden="1" customHeight="1" x14ac:dyDescent="0.25">
      <c r="A27" s="253"/>
      <c r="B27" s="60" t="str">
        <f>Questions!B41</f>
        <v>Has there been a change in supplying uniforms/attire?</v>
      </c>
      <c r="C27" s="33"/>
      <c r="D27" s="72"/>
      <c r="E27" s="6" t="str">
        <f>IF(OR(C27="Yes"),Questions!B42,"")</f>
        <v/>
      </c>
      <c r="F27" s="89" t="str">
        <f>IF(OR(C27="Yes"),'2019 Data'!D23,"")</f>
        <v/>
      </c>
      <c r="G27" s="6" t="str">
        <f>IF(OR(C27="Yes"),Questions!B43,"")</f>
        <v/>
      </c>
      <c r="H27" s="87"/>
      <c r="I27" s="34" t="str">
        <f>IF(OR(C27="Yes"),Questions!B44,"")</f>
        <v/>
      </c>
      <c r="J27" s="47" t="str">
        <f t="shared" si="2"/>
        <v/>
      </c>
    </row>
    <row r="28" spans="1:11" ht="63" hidden="1" customHeight="1" x14ac:dyDescent="0.25">
      <c r="A28" s="253"/>
      <c r="B28" s="64" t="str">
        <f>Questions!B45</f>
        <v>Has there been a change in supplying Personal Protection Equipment (PPE) or other materials, such as cloth masks?</v>
      </c>
      <c r="C28" s="33"/>
      <c r="D28" s="72"/>
      <c r="E28" s="9" t="str">
        <f>IF(OR(C28="Yes"),Questions!B46,"")</f>
        <v/>
      </c>
      <c r="F28" s="91" t="str">
        <f>IF(OR(C28="Yes"),'2019 Data'!D24,"")</f>
        <v/>
      </c>
      <c r="G28" s="9" t="str">
        <f>IF(OR(C28="Yes"),Questions!B47,"")</f>
        <v/>
      </c>
      <c r="H28" s="87"/>
      <c r="I28" s="36" t="str">
        <f>IF(OR(C28="Yes"),Questions!B48,"")</f>
        <v/>
      </c>
      <c r="J28" s="50" t="str">
        <f t="shared" si="2"/>
        <v/>
      </c>
    </row>
    <row r="29" spans="1:11" ht="63" hidden="1" customHeight="1" x14ac:dyDescent="0.25">
      <c r="A29" s="253"/>
      <c r="B29" s="60" t="str">
        <f>Questions!B49</f>
        <v>Do you expect a change in the system's interest expenses?</v>
      </c>
      <c r="C29" s="33"/>
      <c r="D29" s="72"/>
      <c r="E29" s="2" t="str">
        <f>IF(OR(C29="Yes"),Questions!B50,"")</f>
        <v/>
      </c>
      <c r="F29" s="89" t="str">
        <f>IF(OR(C29="Yes"),'2019 Data'!D25,"")</f>
        <v/>
      </c>
      <c r="G29" s="2" t="str">
        <f>IF(OR(C29="Yes"),Questions!B51,"")</f>
        <v/>
      </c>
      <c r="H29" s="87"/>
      <c r="I29" s="34" t="str">
        <f>IF(OR(C29="Yes"),Questions!B52,"")</f>
        <v/>
      </c>
      <c r="J29" s="47" t="str">
        <f t="shared" si="2"/>
        <v/>
      </c>
    </row>
    <row r="30" spans="1:11" ht="63" hidden="1" customHeight="1" x14ac:dyDescent="0.25">
      <c r="A30" s="253"/>
      <c r="B30" s="247" t="str">
        <f>Questions!B53</f>
        <v>Have you incurred new expenses as a result of COVID-19?</v>
      </c>
      <c r="C30" s="239"/>
      <c r="D30" s="75"/>
      <c r="E30" s="255" t="str">
        <f>IF(OR(C30="Yes"),Questions!B54,"")</f>
        <v/>
      </c>
      <c r="F30" s="255"/>
      <c r="G30" s="256"/>
      <c r="H30" s="87"/>
      <c r="I30" s="36"/>
      <c r="J30" s="50" t="str">
        <f t="shared" si="2"/>
        <v/>
      </c>
      <c r="K30" s="44"/>
    </row>
    <row r="31" spans="1:11" ht="63" hidden="1" customHeight="1" x14ac:dyDescent="0.25">
      <c r="A31" s="253"/>
      <c r="B31" s="248"/>
      <c r="C31" s="240"/>
      <c r="D31" s="74"/>
      <c r="E31" s="255" t="str">
        <f>IF(OR(C30="Yes"),Questions!B57,"")</f>
        <v/>
      </c>
      <c r="F31" s="255"/>
      <c r="G31" s="256"/>
      <c r="H31" s="87"/>
      <c r="I31" s="36" t="str">
        <f>IF(OR(C31="Yes"),Questions!B51,"")</f>
        <v/>
      </c>
      <c r="J31" s="50" t="str">
        <f>IF(OR(C30="Yes"),SUM(H30-F30),"")</f>
        <v/>
      </c>
      <c r="K31" s="44"/>
    </row>
    <row r="32" spans="1:11" ht="63" hidden="1" customHeight="1" x14ac:dyDescent="0.25">
      <c r="A32" s="253"/>
      <c r="B32" s="62" t="str">
        <f>Questions!B58</f>
        <v>Do you have additional expenses that have not been identified?</v>
      </c>
      <c r="C32" s="33"/>
      <c r="D32" s="72"/>
      <c r="E32" s="10" t="str">
        <f>IF(OR(C32="Yes"),Questions!B59,"")</f>
        <v/>
      </c>
      <c r="F32" s="89" t="str">
        <f>IF(OR(C32="Yes"),'2019 Data'!D26,"")</f>
        <v/>
      </c>
      <c r="G32" s="10" t="str">
        <f>IF(OR(C32="Yes"),Questions!B60,"")</f>
        <v/>
      </c>
      <c r="H32" s="87"/>
      <c r="I32" s="34" t="str">
        <f>IF(OR(C32="Yes"),Questions!B61,"")</f>
        <v/>
      </c>
      <c r="J32" s="47" t="str">
        <f>IF(OR(C32="Yes"),SUM(H32-F32),"")</f>
        <v/>
      </c>
    </row>
    <row r="33" spans="1:11" ht="63" hidden="1" customHeight="1" x14ac:dyDescent="0.25">
      <c r="A33" s="254"/>
      <c r="B33" s="63"/>
      <c r="C33" s="9"/>
      <c r="D33" s="80"/>
      <c r="E33" s="12" t="s">
        <v>2</v>
      </c>
      <c r="F33" s="51">
        <f>SUM(F17:F32)</f>
        <v>0</v>
      </c>
      <c r="G33" s="12" t="s">
        <v>78</v>
      </c>
      <c r="H33" s="51">
        <f>SUM(H17:H32)</f>
        <v>0</v>
      </c>
      <c r="I33" s="26" t="s">
        <v>103</v>
      </c>
      <c r="J33" s="51">
        <f>SUM(J17:J32)</f>
        <v>0</v>
      </c>
    </row>
    <row r="34" spans="1:11" ht="63" customHeight="1" x14ac:dyDescent="0.25">
      <c r="A34" s="43" t="s">
        <v>18</v>
      </c>
      <c r="B34" s="59"/>
      <c r="C34" s="2"/>
      <c r="D34" s="82"/>
      <c r="E34" s="13" t="s">
        <v>3</v>
      </c>
      <c r="F34" s="49">
        <f>F14-F33</f>
        <v>0</v>
      </c>
      <c r="G34" s="14" t="s">
        <v>77</v>
      </c>
      <c r="H34" s="49">
        <f>H14-H33</f>
        <v>0</v>
      </c>
      <c r="I34" s="27" t="s">
        <v>4</v>
      </c>
      <c r="J34" s="49">
        <f>J14-J33</f>
        <v>0</v>
      </c>
    </row>
    <row r="35" spans="1:11" ht="75.75" customHeight="1" x14ac:dyDescent="0.25">
      <c r="A35" s="233" t="s">
        <v>13</v>
      </c>
      <c r="B35" s="81" t="str">
        <f>Questions!C2</f>
        <v>Has there been, or do you expect, a change in Accounts receivable?</v>
      </c>
      <c r="C35" s="33"/>
      <c r="D35" s="72"/>
      <c r="E35" s="113" t="str">
        <f>IF(OR(C35="Yes"),Questions!C13,"")</f>
        <v/>
      </c>
      <c r="F35" s="112" t="str">
        <f>IF(OR(C35="Yes"),'2019 Data'!D28,"")</f>
        <v/>
      </c>
      <c r="G35" s="111" t="str">
        <f>IF(OR(C35="Yes"),Questions!C14,"")</f>
        <v/>
      </c>
      <c r="H35" s="92"/>
      <c r="I35" s="38" t="str">
        <f>IF(OR(C35="Yes"),Questions!C28,"")</f>
        <v/>
      </c>
      <c r="J35" s="52" t="str">
        <f>IF(OR(C35="Yes"),SUM(F35-H35),"")</f>
        <v/>
      </c>
      <c r="K35" s="17"/>
    </row>
    <row r="36" spans="1:11" ht="75.75" customHeight="1" x14ac:dyDescent="0.25">
      <c r="A36" s="234"/>
      <c r="B36" s="96" t="str">
        <f>Questions!C3</f>
        <v>Has there been, or do you expect, a change in Accounts payable?</v>
      </c>
      <c r="C36" s="33"/>
      <c r="D36" s="72"/>
      <c r="E36" s="83" t="str">
        <f>IF(OR(C36="Yes"),Questions!C13,"")</f>
        <v/>
      </c>
      <c r="F36" s="93" t="str">
        <f>IF(OR(C36="Yes"),'2019 Data'!D29,"")</f>
        <v/>
      </c>
      <c r="G36" s="31" t="str">
        <f>IF(OR(C36="Yes"),Questions!C14,"")</f>
        <v/>
      </c>
      <c r="H36" s="92"/>
      <c r="I36" s="34" t="str">
        <f>IF(OR(C36="Yes"),Questions!C28,"")</f>
        <v/>
      </c>
      <c r="J36" s="47" t="str">
        <f>IF(OR(C36="Yes"),SUM(H36-F36),"")</f>
        <v/>
      </c>
    </row>
    <row r="37" spans="1:11" ht="75.75" customHeight="1" x14ac:dyDescent="0.25">
      <c r="A37" s="234"/>
      <c r="B37" s="81" t="str">
        <f>Questions!C4</f>
        <v>Will you delay pension fund contributions?</v>
      </c>
      <c r="C37" s="33"/>
      <c r="D37" s="72"/>
      <c r="E37" s="109" t="str">
        <f>IF(OR(C37="Yes"),Questions!C13,"")</f>
        <v/>
      </c>
      <c r="F37" s="110" t="str">
        <f>IF(OR(C37="Yes"),'2019 Data'!D30,"")</f>
        <v/>
      </c>
      <c r="G37" s="111" t="str">
        <f>IF(OR(C37="Yes"),Questions!C14,"")</f>
        <v/>
      </c>
      <c r="H37" s="92"/>
      <c r="I37" s="38" t="str">
        <f>IF(OR(C37="Yes"),Questions!C28,"")</f>
        <v/>
      </c>
      <c r="J37" s="52" t="str">
        <f>IF(OR(C37="Yes"),SUM(F37-H37),"")</f>
        <v/>
      </c>
      <c r="K37" s="44"/>
    </row>
    <row r="38" spans="1:11" ht="75.75" customHeight="1" x14ac:dyDescent="0.25">
      <c r="A38" s="234"/>
      <c r="B38" s="237" t="str">
        <f>Questions!C5</f>
        <v>Are there inter-agency funds transfers that have occurred, or that will occur?</v>
      </c>
      <c r="C38" s="239"/>
      <c r="D38" s="75"/>
      <c r="E38" s="83" t="str">
        <f>IF(OR(C38="Yes"),Questions!C15,"")</f>
        <v/>
      </c>
      <c r="F38" s="93" t="str">
        <f>IF(OR(C38="Yes"),'2019 Data'!D31,"")</f>
        <v/>
      </c>
      <c r="G38" s="31" t="str">
        <f>IF(OR(C38="Yes"),Questions!C16,"")</f>
        <v/>
      </c>
      <c r="H38" s="92"/>
      <c r="I38" s="34" t="str">
        <f>IF(OR(C38="Yes"),Questions!C28,"")</f>
        <v/>
      </c>
      <c r="J38" s="47" t="str">
        <f>IF(OR(C38="Yes"),SUM(F38-H38),"")</f>
        <v/>
      </c>
      <c r="K38" s="44"/>
    </row>
    <row r="39" spans="1:11" ht="75.75" customHeight="1" x14ac:dyDescent="0.25">
      <c r="A39" s="234"/>
      <c r="B39" s="238"/>
      <c r="C39" s="240"/>
      <c r="D39" s="74"/>
      <c r="E39" s="83" t="str">
        <f>IF(OR(C38="Yes"),Questions!C17,"")</f>
        <v/>
      </c>
      <c r="F39" s="93" t="str">
        <f>IF(OR(C38="Yes"),'2019 Data'!D32,"")</f>
        <v/>
      </c>
      <c r="G39" s="31" t="str">
        <f>IF(OR(C38="Yes"),Questions!C18,"")</f>
        <v/>
      </c>
      <c r="H39" s="92"/>
      <c r="I39" s="34" t="str">
        <f>IF(OR(C38="Yes"),Questions!C28,"")</f>
        <v/>
      </c>
      <c r="J39" s="47" t="str">
        <f>IF(OR(C38="Yes"),SUM(H39-F39),"")</f>
        <v/>
      </c>
      <c r="K39" s="44"/>
    </row>
    <row r="40" spans="1:11" ht="75.75" customHeight="1" x14ac:dyDescent="0.25">
      <c r="A40" s="234"/>
      <c r="B40" s="106" t="str">
        <f>Questions!C6</f>
        <v>Has there been, or do you expect, a change in the system's rate structure such as a delay in implementing a rate increase or temporary rate reductions?</v>
      </c>
      <c r="C40" s="33"/>
      <c r="D40" s="72"/>
      <c r="E40" s="58" t="str">
        <f>IF(OR(C40="Yes"),Questions!C19,"")</f>
        <v/>
      </c>
      <c r="F40" s="94" t="str">
        <f>IF(OR(C40="Yes"),'2019 Data'!D33,"")</f>
        <v/>
      </c>
      <c r="G40" s="37" t="str">
        <f>IF(OR(C40="Yes"),Questions!C20,"")</f>
        <v/>
      </c>
      <c r="H40" s="92"/>
      <c r="I40" s="38" t="str">
        <f>IF(OR(C40="Yes"),Questions!C28,"")</f>
        <v/>
      </c>
      <c r="J40" s="52" t="str">
        <f>IF(OR(C40="Yes"),SUM(H40-F40),"")</f>
        <v/>
      </c>
    </row>
    <row r="41" spans="1:11" ht="75.75" customHeight="1" x14ac:dyDescent="0.25">
      <c r="A41" s="234"/>
      <c r="B41" s="105" t="str">
        <f>Questions!C7</f>
        <v>Do you have a rate stabilization fund?</v>
      </c>
      <c r="C41" s="33"/>
      <c r="D41" s="72"/>
      <c r="E41" s="83" t="str">
        <f>IF(OR(C41="Yes"),Questions!C21,"")</f>
        <v/>
      </c>
      <c r="F41" s="93" t="str">
        <f>IF(OR(C41="Yes"),'2019 Data'!D34,"")</f>
        <v/>
      </c>
      <c r="G41" s="31" t="str">
        <f>IF(OR(C41="Yes"),Questions!C22,"")</f>
        <v/>
      </c>
      <c r="H41" s="92"/>
      <c r="I41" s="34" t="str">
        <f>IF(OR(C41="Yes"),Questions!C28,"")</f>
        <v/>
      </c>
      <c r="J41" s="47" t="str">
        <f>IF(OR(C41="Yes"),SUM(H41-F41),"")</f>
        <v/>
      </c>
    </row>
    <row r="42" spans="1:11" ht="75.75" customHeight="1" x14ac:dyDescent="0.25">
      <c r="A42" s="234"/>
      <c r="B42" s="106" t="str">
        <f>Questions!C8</f>
        <v>Has there been, or do you expect, a change in budgeted capital expenditures?</v>
      </c>
      <c r="C42" s="33"/>
      <c r="D42" s="72"/>
      <c r="E42" s="109" t="str">
        <f>IF(OR(C42="Yes"),Questions!C23,"")</f>
        <v/>
      </c>
      <c r="F42" s="110" t="str">
        <f>IF(OR(C42="Yes"),'2019 Data'!D35,"")</f>
        <v/>
      </c>
      <c r="G42" s="37" t="str">
        <f>IF(OR(C42="Yes"),Questions!C24,"")</f>
        <v/>
      </c>
      <c r="H42" s="92"/>
      <c r="I42" s="38" t="str">
        <f>IF(OR(C42="Yes"),Questions!C28,"")</f>
        <v/>
      </c>
      <c r="J42" s="52" t="str">
        <f>IF(OR(C42="Yes"),SUM(F42-H42),"")</f>
        <v/>
      </c>
      <c r="K42" s="44"/>
    </row>
    <row r="43" spans="1:11" ht="75.75" customHeight="1" x14ac:dyDescent="0.25">
      <c r="A43" s="234"/>
      <c r="B43" s="105" t="str">
        <f>Questions!C9</f>
        <v>Are there, or do you expect, a change in expenditures due to delayed construction projects?</v>
      </c>
      <c r="C43" s="33"/>
      <c r="D43" s="72"/>
      <c r="E43" s="231" t="str">
        <f>IF(OR(C43="Yes"),Questions!C25,"")</f>
        <v/>
      </c>
      <c r="F43" s="231"/>
      <c r="G43" s="232"/>
      <c r="H43" s="92"/>
      <c r="I43" s="34" t="str">
        <f>IF(OR(C43="Yes"),Questions!C28,"")</f>
        <v/>
      </c>
      <c r="J43" s="47" t="str">
        <f>IF(OR(C43="Yes"),H43,"")</f>
        <v/>
      </c>
      <c r="K43" s="44"/>
    </row>
    <row r="44" spans="1:11" ht="75.75" customHeight="1" x14ac:dyDescent="0.25">
      <c r="A44" s="234"/>
      <c r="B44" s="106" t="str">
        <f>Questions!C10</f>
        <v>Will you attempt to restructure existing debt?</v>
      </c>
      <c r="C44" s="33"/>
      <c r="D44" s="72"/>
      <c r="E44" s="229" t="str">
        <f>IF(OR(C44="Yes"),Questions!C25,"")</f>
        <v/>
      </c>
      <c r="F44" s="229"/>
      <c r="G44" s="230"/>
      <c r="H44" s="92"/>
      <c r="I44" s="38" t="str">
        <f>IF(OR(C44="Yes"),Questions!C28,"")</f>
        <v/>
      </c>
      <c r="J44" s="52" t="str">
        <f>IF(OR(C44="Yes"),H44,"")</f>
        <v/>
      </c>
      <c r="K44" s="44"/>
    </row>
    <row r="45" spans="1:11" ht="75.75" customHeight="1" x14ac:dyDescent="0.25">
      <c r="A45" s="234"/>
      <c r="B45" s="105" t="str">
        <f>Questions!C11</f>
        <v>Will you incur new debt?</v>
      </c>
      <c r="C45" s="33"/>
      <c r="D45" s="72"/>
      <c r="E45" s="231" t="str">
        <f>IF(OR(C45="Yes"),Questions!C25,"")</f>
        <v/>
      </c>
      <c r="F45" s="231"/>
      <c r="G45" s="232"/>
      <c r="H45" s="92"/>
      <c r="I45" s="114" t="str">
        <f>IF(OR(C45="Yes"),Questions!C28,"")</f>
        <v/>
      </c>
      <c r="J45" s="53" t="str">
        <f>IF(OR(C45="Yes"),H45,"")</f>
        <v/>
      </c>
      <c r="K45" s="44"/>
    </row>
    <row r="46" spans="1:11" ht="75.75" customHeight="1" x14ac:dyDescent="0.25">
      <c r="A46" s="235"/>
      <c r="B46" s="108" t="str">
        <f>Questions!C12</f>
        <v>Do you have available cash on hand?</v>
      </c>
      <c r="C46" s="66"/>
      <c r="D46" s="72"/>
      <c r="E46" s="229" t="str">
        <f>IF(OR(C46="Yes"),Questions!C26,"")</f>
        <v/>
      </c>
      <c r="F46" s="229"/>
      <c r="G46" s="230"/>
      <c r="H46" s="32"/>
      <c r="I46" s="38" t="str">
        <f>IF(OR(C46="Yes"),Questions!C28,"")</f>
        <v/>
      </c>
      <c r="J46" s="52" t="str">
        <f>IF(OR(C46="Yes"),H46,"")</f>
        <v/>
      </c>
      <c r="K46" s="44"/>
    </row>
    <row r="47" spans="1:11" ht="75.75" customHeight="1" x14ac:dyDescent="0.25">
      <c r="A47" s="235"/>
      <c r="B47" s="59" t="s">
        <v>254</v>
      </c>
      <c r="C47" s="33"/>
      <c r="D47" s="72"/>
      <c r="E47" s="231" t="str">
        <f>IF(OR(C47="Yes"),Questions!C27,"")</f>
        <v/>
      </c>
      <c r="F47" s="231"/>
      <c r="G47" s="232"/>
      <c r="H47" s="107"/>
      <c r="I47" s="34" t="str">
        <f>IF(OR(C47="Yes"),Questions!C28,"")</f>
        <v/>
      </c>
      <c r="J47" s="47" t="str">
        <f>IF(OR(C47="Yes"),H47,"")</f>
        <v/>
      </c>
      <c r="K47" s="44"/>
    </row>
    <row r="48" spans="1:11" ht="75.75" customHeight="1" x14ac:dyDescent="0.25">
      <c r="A48" s="236"/>
      <c r="B48" s="61"/>
      <c r="C48" s="85"/>
      <c r="D48" s="58"/>
      <c r="E48" s="84" t="s">
        <v>93</v>
      </c>
      <c r="F48" s="65">
        <f>SUM(F35:F47)</f>
        <v>0</v>
      </c>
      <c r="G48" s="45" t="s">
        <v>98</v>
      </c>
      <c r="H48" s="65">
        <f>SUM(H35:H47)</f>
        <v>0</v>
      </c>
      <c r="I48" s="56" t="s">
        <v>99</v>
      </c>
      <c r="J48" s="57">
        <f>SUM(J35:J47)</f>
        <v>0</v>
      </c>
    </row>
    <row r="49" spans="10:10" x14ac:dyDescent="0.25">
      <c r="J49" s="25"/>
    </row>
  </sheetData>
  <mergeCells count="19">
    <mergeCell ref="C17:C18"/>
    <mergeCell ref="B30:B31"/>
    <mergeCell ref="C30:C31"/>
    <mergeCell ref="A1:J1"/>
    <mergeCell ref="E30:G30"/>
    <mergeCell ref="E31:G31"/>
    <mergeCell ref="A2:A14"/>
    <mergeCell ref="B2:B3"/>
    <mergeCell ref="A15:A33"/>
    <mergeCell ref="B15:B16"/>
    <mergeCell ref="B17:B18"/>
    <mergeCell ref="A35:A48"/>
    <mergeCell ref="B38:B39"/>
    <mergeCell ref="C38:C39"/>
    <mergeCell ref="E44:G44"/>
    <mergeCell ref="E45:G45"/>
    <mergeCell ref="E46:G46"/>
    <mergeCell ref="E43:G43"/>
    <mergeCell ref="E47:G47"/>
  </mergeCells>
  <dataValidations count="1">
    <dataValidation type="list" allowBlank="1" showInputMessage="1" showErrorMessage="1" sqref="C4:C13 C17:C32 C35:C38 C40:C47 F9" xr:uid="{05C0BB63-4C9E-453D-8182-08347E74F964}">
      <formula1>"Yes,No"</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9697" r:id="rId4" name="CommandButton1">
          <controlPr defaultSize="0" autoLine="0" r:id="rId5">
            <anchor moveWithCells="1">
              <from>
                <xdr:col>2</xdr:col>
                <xdr:colOff>200025</xdr:colOff>
                <xdr:row>1</xdr:row>
                <xdr:rowOff>95250</xdr:rowOff>
              </from>
              <to>
                <xdr:col>2</xdr:col>
                <xdr:colOff>828675</xdr:colOff>
                <xdr:row>1</xdr:row>
                <xdr:rowOff>666750</xdr:rowOff>
              </to>
            </anchor>
          </controlPr>
        </control>
      </mc:Choice>
      <mc:Fallback>
        <control shapeId="29697" r:id="rId4" name="CommandButton1"/>
      </mc:Fallback>
    </mc:AlternateContent>
    <mc:AlternateContent xmlns:mc="http://schemas.openxmlformats.org/markup-compatibility/2006">
      <mc:Choice Requires="x14">
        <control shapeId="29698" r:id="rId6" name="CommandButton2">
          <controlPr defaultSize="0" autoLine="0" r:id="rId7">
            <anchor moveWithCells="1">
              <from>
                <xdr:col>2</xdr:col>
                <xdr:colOff>200025</xdr:colOff>
                <xdr:row>2</xdr:row>
                <xdr:rowOff>85725</xdr:rowOff>
              </from>
              <to>
                <xdr:col>2</xdr:col>
                <xdr:colOff>809625</xdr:colOff>
                <xdr:row>2</xdr:row>
                <xdr:rowOff>647700</xdr:rowOff>
              </to>
            </anchor>
          </controlPr>
        </control>
      </mc:Choice>
      <mc:Fallback>
        <control shapeId="29698" r:id="rId6" name="CommandButton2"/>
      </mc:Fallback>
    </mc:AlternateContent>
    <mc:AlternateContent xmlns:mc="http://schemas.openxmlformats.org/markup-compatibility/2006">
      <mc:Choice Requires="x14">
        <control shapeId="29699" r:id="rId8" name="CommandButton3">
          <controlPr defaultSize="0" autoLine="0" r:id="rId9">
            <anchor moveWithCells="1">
              <from>
                <xdr:col>2</xdr:col>
                <xdr:colOff>180975</xdr:colOff>
                <xdr:row>14</xdr:row>
                <xdr:rowOff>133350</xdr:rowOff>
              </from>
              <to>
                <xdr:col>2</xdr:col>
                <xdr:colOff>800100</xdr:colOff>
                <xdr:row>14</xdr:row>
                <xdr:rowOff>695325</xdr:rowOff>
              </to>
            </anchor>
          </controlPr>
        </control>
      </mc:Choice>
      <mc:Fallback>
        <control shapeId="29699" r:id="rId8" name="CommandButton3"/>
      </mc:Fallback>
    </mc:AlternateContent>
    <mc:AlternateContent xmlns:mc="http://schemas.openxmlformats.org/markup-compatibility/2006">
      <mc:Choice Requires="x14">
        <control shapeId="29700" r:id="rId10" name="CommandButton4">
          <controlPr defaultSize="0" autoLine="0" r:id="rId11">
            <anchor moveWithCells="1">
              <from>
                <xdr:col>2</xdr:col>
                <xdr:colOff>190500</xdr:colOff>
                <xdr:row>15</xdr:row>
                <xdr:rowOff>114300</xdr:rowOff>
              </from>
              <to>
                <xdr:col>2</xdr:col>
                <xdr:colOff>809625</xdr:colOff>
                <xdr:row>15</xdr:row>
                <xdr:rowOff>666750</xdr:rowOff>
              </to>
            </anchor>
          </controlPr>
        </control>
      </mc:Choice>
      <mc:Fallback>
        <control shapeId="29700" r:id="rId10" name="CommandButton4"/>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8CD49-3AC0-4639-86C8-D7AC880ECDF8}">
  <sheetPr codeName="Sheet6">
    <tabColor theme="6" tint="-0.499984740745262"/>
  </sheetPr>
  <dimension ref="A1:K49"/>
  <sheetViews>
    <sheetView zoomScaleNormal="100" workbookViewId="0">
      <pane ySplit="1" topLeftCell="A2" activePane="bottomLeft" state="frozen"/>
      <selection activeCell="K3" sqref="K3"/>
      <selection pane="bottomLeft" activeCell="A2" sqref="A2:A14"/>
    </sheetView>
  </sheetViews>
  <sheetFormatPr defaultColWidth="9.140625" defaultRowHeight="15" x14ac:dyDescent="0.25"/>
  <cols>
    <col min="1" max="1" width="10.7109375" style="15" customWidth="1"/>
    <col min="2" max="2" width="28.140625" style="16" customWidth="1"/>
    <col min="3" max="3" width="14" style="17" customWidth="1"/>
    <col min="4" max="4" width="2.7109375" style="4" customWidth="1"/>
    <col min="5" max="5" width="28.42578125" style="17" customWidth="1"/>
    <col min="6" max="6" width="17.7109375" style="18" customWidth="1"/>
    <col min="7" max="7" width="31.140625" style="17" customWidth="1"/>
    <col min="8" max="8" width="17.7109375" style="18" customWidth="1"/>
    <col min="9" max="9" width="23.140625" style="25" customWidth="1"/>
    <col min="10" max="10" width="17.7109375" style="19" customWidth="1"/>
    <col min="11" max="11" width="22.7109375" style="4" bestFit="1" customWidth="1"/>
    <col min="12" max="16384" width="9.140625" style="4"/>
  </cols>
  <sheetData>
    <row r="1" spans="1:10" s="1" customFormat="1" ht="27.75" customHeight="1" thickTop="1" x14ac:dyDescent="0.25">
      <c r="A1" s="241" t="s">
        <v>164</v>
      </c>
      <c r="B1" s="242"/>
      <c r="C1" s="242"/>
      <c r="D1" s="242"/>
      <c r="E1" s="242"/>
      <c r="F1" s="242"/>
      <c r="G1" s="242"/>
      <c r="H1" s="242"/>
      <c r="I1" s="242"/>
      <c r="J1" s="242"/>
    </row>
    <row r="2" spans="1:10" ht="63" customHeight="1" x14ac:dyDescent="0.25">
      <c r="A2" s="249" t="s">
        <v>1</v>
      </c>
      <c r="B2" s="243" t="s">
        <v>11</v>
      </c>
      <c r="C2" s="66"/>
      <c r="D2" s="75"/>
      <c r="E2" s="2"/>
      <c r="F2" s="3"/>
      <c r="G2" s="2"/>
      <c r="H2" s="3"/>
      <c r="I2" s="24"/>
      <c r="J2" s="53"/>
    </row>
    <row r="3" spans="1:10" ht="63" customHeight="1" x14ac:dyDescent="0.25">
      <c r="A3" s="250"/>
      <c r="B3" s="244"/>
      <c r="C3" s="68"/>
      <c r="D3" s="76"/>
      <c r="E3" s="73" t="s">
        <v>87</v>
      </c>
      <c r="F3" s="11"/>
      <c r="G3" s="10"/>
      <c r="H3" s="11"/>
      <c r="I3" s="54"/>
      <c r="J3" s="55"/>
    </row>
    <row r="4" spans="1:10" ht="63" hidden="1" customHeight="1" x14ac:dyDescent="0.25">
      <c r="A4" s="250"/>
      <c r="B4" s="42" t="str">
        <f>Questions!A2</f>
        <v>Have commercial/industrial revenues been impacted?</v>
      </c>
      <c r="C4" s="68"/>
      <c r="D4" s="74"/>
      <c r="E4" s="30" t="str">
        <f>IF(OR(C4="Yes"),Questions!A3,"")</f>
        <v/>
      </c>
      <c r="F4" s="88" t="str">
        <f>IF(OR(C4="Yes"),'2019 Data'!D3,"")</f>
        <v/>
      </c>
      <c r="G4" s="30" t="str">
        <f>IF(OR(C4="Yes"),Questions!A4,"")</f>
        <v/>
      </c>
      <c r="H4" s="86"/>
      <c r="I4" s="70" t="str">
        <f>IF(OR(C4="Yes"),Questions!A5,"")</f>
        <v/>
      </c>
      <c r="J4" s="71" t="str">
        <f t="shared" ref="J4:J13" si="0">IF(OR(C4="Yes"),SUM(H4-F4),"")</f>
        <v/>
      </c>
    </row>
    <row r="5" spans="1:10" ht="63" hidden="1" customHeight="1" x14ac:dyDescent="0.25">
      <c r="A5" s="250"/>
      <c r="B5" s="60" t="str">
        <f>Questions!A6</f>
        <v>Have residential revenues been impacted?</v>
      </c>
      <c r="C5" s="33"/>
      <c r="D5" s="74"/>
      <c r="E5" s="6" t="str">
        <f>IF(OR(C5="Yes"),Questions!A7,"")</f>
        <v/>
      </c>
      <c r="F5" s="89" t="str">
        <f>IF(OR(C5="Yes"),'2019 Data'!D4,"")</f>
        <v/>
      </c>
      <c r="G5" s="6" t="str">
        <f>IF(OR(C5="Yes"),Questions!A8,"")</f>
        <v/>
      </c>
      <c r="H5" s="87"/>
      <c r="I5" s="34" t="str">
        <f>IF(OR(C5="Yes"),Questions!A9,"")</f>
        <v/>
      </c>
      <c r="J5" s="47" t="str">
        <f t="shared" si="0"/>
        <v/>
      </c>
    </row>
    <row r="6" spans="1:10" ht="63" hidden="1" customHeight="1" x14ac:dyDescent="0.25">
      <c r="A6" s="250"/>
      <c r="B6" s="42" t="str">
        <f>Questions!A10</f>
        <v>Do you sell wholesale water/wastewater treatment?</v>
      </c>
      <c r="C6" s="33"/>
      <c r="D6" s="74"/>
      <c r="E6" s="5" t="str">
        <f>IF(OR(C6="Yes"),Questions!A11,"")</f>
        <v/>
      </c>
      <c r="F6" s="88" t="str">
        <f>IF(OR(C6="Yes"),'2019 Data'!D5,"")</f>
        <v/>
      </c>
      <c r="G6" s="5" t="str">
        <f>IF(OR(C6="Yes"),Questions!A12,"")</f>
        <v/>
      </c>
      <c r="H6" s="87"/>
      <c r="I6" s="35" t="str">
        <f>IF(OR(C6="Yes"),Questions!A13,"")</f>
        <v/>
      </c>
      <c r="J6" s="46" t="str">
        <f t="shared" si="0"/>
        <v/>
      </c>
    </row>
    <row r="7" spans="1:10" ht="63" hidden="1" customHeight="1" x14ac:dyDescent="0.25">
      <c r="A7" s="250"/>
      <c r="B7" s="60" t="str">
        <f>Questions!A14</f>
        <v>Do you charge connection/tap fees?</v>
      </c>
      <c r="C7" s="33"/>
      <c r="D7" s="74"/>
      <c r="E7" s="6" t="str">
        <f>IF(OR(C7="Yes"),Questions!A15,"")</f>
        <v/>
      </c>
      <c r="F7" s="89" t="str">
        <f>IF(OR(C7="Yes"),'2019 Data'!D6,"")</f>
        <v/>
      </c>
      <c r="G7" s="6" t="str">
        <f>IF(OR(C7="Yes"),Questions!A16,"")</f>
        <v/>
      </c>
      <c r="H7" s="87"/>
      <c r="I7" s="34" t="str">
        <f>IF(OR(C7="Yes"),Questions!A17,"")</f>
        <v/>
      </c>
      <c r="J7" s="47" t="str">
        <f t="shared" si="0"/>
        <v/>
      </c>
    </row>
    <row r="8" spans="1:10" ht="63" hidden="1" customHeight="1" x14ac:dyDescent="0.25">
      <c r="A8" s="250"/>
      <c r="B8" s="42" t="str">
        <f>Questions!A18</f>
        <v>Are you suspending late fees?</v>
      </c>
      <c r="C8" s="33"/>
      <c r="D8" s="74"/>
      <c r="E8" s="5" t="str">
        <f>IF(OR(C8="Yes"),Questions!A19,"")</f>
        <v/>
      </c>
      <c r="F8" s="88" t="str">
        <f>IF(OR(C8="Yes"),'2019 Data'!D7,"")</f>
        <v/>
      </c>
      <c r="G8" s="5" t="str">
        <f>IF(OR(C8="Yes"),Questions!A20,"")</f>
        <v/>
      </c>
      <c r="H8" s="87"/>
      <c r="I8" s="35" t="str">
        <f>IF(OR(C8="Yes"),Questions!A21,"")</f>
        <v/>
      </c>
      <c r="J8" s="46" t="str">
        <f t="shared" si="0"/>
        <v/>
      </c>
    </row>
    <row r="9" spans="1:10" ht="63" hidden="1" customHeight="1" x14ac:dyDescent="0.25">
      <c r="A9" s="250"/>
      <c r="B9" s="95" t="str">
        <f>Questions!A22</f>
        <v>Are you suspending shutoffs?</v>
      </c>
      <c r="C9" s="33"/>
      <c r="D9" s="74"/>
      <c r="E9" s="6" t="str">
        <f>IF(OR(C9="Yes"),Questions!A23,"")</f>
        <v/>
      </c>
      <c r="F9" s="115"/>
      <c r="G9" s="6" t="str">
        <f>IF(OR(F9="Yes"),Questions!A24,"")</f>
        <v/>
      </c>
      <c r="H9" s="87"/>
      <c r="I9" s="34" t="str">
        <f>IF(OR(F9="Yes"),Questions!A25,"")</f>
        <v/>
      </c>
      <c r="J9" s="47" t="str">
        <f>IF(OR(F9="Yes"),-H9,"")</f>
        <v/>
      </c>
    </row>
    <row r="10" spans="1:10" ht="63" hidden="1" customHeight="1" x14ac:dyDescent="0.25">
      <c r="A10" s="250"/>
      <c r="B10" s="42" t="str">
        <f>Questions!A26</f>
        <v>Does your system receive tax revenue either directly or from a parent agency?</v>
      </c>
      <c r="C10" s="33"/>
      <c r="D10" s="74"/>
      <c r="E10" s="5" t="str">
        <f>IF(OR(C10="Yes"),Questions!A27,"")</f>
        <v/>
      </c>
      <c r="F10" s="88" t="str">
        <f>IF(OR(C10="Yes"),'2019 Data'!D8,"")</f>
        <v/>
      </c>
      <c r="G10" s="29" t="str">
        <f>IF(OR(C10="Yes"),Questions!A28,"")</f>
        <v/>
      </c>
      <c r="H10" s="87"/>
      <c r="I10" s="35" t="str">
        <f>IF(OR(C10="Yes"),Questions!A29,"")</f>
        <v/>
      </c>
      <c r="J10" s="46" t="str">
        <f t="shared" si="0"/>
        <v/>
      </c>
    </row>
    <row r="11" spans="1:10" ht="63" hidden="1" customHeight="1" x14ac:dyDescent="0.25">
      <c r="A11" s="250"/>
      <c r="B11" s="60" t="str">
        <f>Questions!A30</f>
        <v>Do you sell byproducts (e.g., biosolids, electricity, etc.)?</v>
      </c>
      <c r="C11" s="33"/>
      <c r="D11" s="74"/>
      <c r="E11" s="6" t="str">
        <f>IF(OR(C11="Yes"),Questions!A31,"")</f>
        <v/>
      </c>
      <c r="F11" s="89" t="str">
        <f>IF(OR(C11="Yes"),'2019 Data'!D9,"")</f>
        <v/>
      </c>
      <c r="G11" s="83" t="str">
        <f>IF(OR(C11="Yes"),Questions!A32,"")</f>
        <v/>
      </c>
      <c r="H11" s="87"/>
      <c r="I11" s="34" t="str">
        <f>IF(OR(C11="Yes"),Questions!A33,"")</f>
        <v/>
      </c>
      <c r="J11" s="47" t="str">
        <f t="shared" si="0"/>
        <v/>
      </c>
    </row>
    <row r="12" spans="1:10" ht="63" hidden="1" customHeight="1" x14ac:dyDescent="0.25">
      <c r="A12" s="250"/>
      <c r="B12" s="42" t="str">
        <f>Questions!A34</f>
        <v>Do you generate interest income from cash on hand?</v>
      </c>
      <c r="C12" s="33"/>
      <c r="D12" s="74"/>
      <c r="E12" s="5" t="str">
        <f>IF(OR(C12="Yes"),Questions!A35,"")</f>
        <v/>
      </c>
      <c r="F12" s="88" t="str">
        <f>IF(OR(C12="Yes"),'2019 Data'!D10,"")</f>
        <v/>
      </c>
      <c r="G12" s="30" t="str">
        <f>IF(OR(C12="Yes"),Questions!A36,"")</f>
        <v/>
      </c>
      <c r="H12" s="87"/>
      <c r="I12" s="35" t="str">
        <f>IF(OR(C12="Yes"),Questions!A37,"")</f>
        <v/>
      </c>
      <c r="J12" s="46" t="str">
        <f t="shared" si="0"/>
        <v/>
      </c>
    </row>
    <row r="13" spans="1:10" ht="63" hidden="1" customHeight="1" x14ac:dyDescent="0.25">
      <c r="A13" s="250"/>
      <c r="B13" s="62" t="str">
        <f>Questions!A38</f>
        <v>Do you have additional revenue streams that have not been identified?</v>
      </c>
      <c r="C13" s="66"/>
      <c r="D13" s="77"/>
      <c r="E13" s="7" t="str">
        <f>IF(OR(C13="Yes"),Questions!A39,"")</f>
        <v/>
      </c>
      <c r="F13" s="90" t="str">
        <f>IF(OR(C13="Yes"),'2019 Data'!D11,"")</f>
        <v/>
      </c>
      <c r="G13" s="6" t="str">
        <f>IF(OR(C13="Yes"),Questions!A40,"")</f>
        <v/>
      </c>
      <c r="H13" s="87"/>
      <c r="I13" s="34" t="str">
        <f>IF(OR(C13="Yes"),Questions!A41,"")</f>
        <v/>
      </c>
      <c r="J13" s="47" t="str">
        <f t="shared" si="0"/>
        <v/>
      </c>
    </row>
    <row r="14" spans="1:10" ht="63" hidden="1" customHeight="1" x14ac:dyDescent="0.25">
      <c r="A14" s="251"/>
      <c r="B14" s="78"/>
      <c r="C14" s="29"/>
      <c r="D14" s="79"/>
      <c r="E14" s="8" t="s">
        <v>0</v>
      </c>
      <c r="F14" s="48">
        <f>SUM(F2:F13)</f>
        <v>0</v>
      </c>
      <c r="G14" s="8" t="s">
        <v>102</v>
      </c>
      <c r="H14" s="48">
        <f>SUM(H2:H13)</f>
        <v>0</v>
      </c>
      <c r="I14" s="28" t="s">
        <v>100</v>
      </c>
      <c r="J14" s="48">
        <f>SUM(J2:J13)</f>
        <v>0</v>
      </c>
    </row>
    <row r="15" spans="1:10" ht="63" customHeight="1" x14ac:dyDescent="0.25">
      <c r="A15" s="252" t="s">
        <v>9</v>
      </c>
      <c r="B15" s="245" t="s">
        <v>298</v>
      </c>
      <c r="C15" s="66"/>
      <c r="D15" s="75"/>
      <c r="E15" s="2"/>
      <c r="F15" s="3"/>
      <c r="G15" s="2"/>
      <c r="H15" s="3"/>
      <c r="I15" s="24"/>
      <c r="J15" s="53"/>
    </row>
    <row r="16" spans="1:10" ht="63" customHeight="1" x14ac:dyDescent="0.25">
      <c r="A16" s="253"/>
      <c r="B16" s="246"/>
      <c r="C16" s="67"/>
      <c r="D16" s="77"/>
      <c r="E16" s="98" t="s">
        <v>245</v>
      </c>
      <c r="F16" s="11"/>
      <c r="G16" s="10"/>
      <c r="H16" s="11"/>
      <c r="I16" s="54"/>
      <c r="J16" s="55"/>
    </row>
    <row r="17" spans="1:11" ht="63" hidden="1" customHeight="1" x14ac:dyDescent="0.25">
      <c r="A17" s="253"/>
      <c r="B17" s="247" t="str">
        <f>Questions!B2</f>
        <v>Have your labor costs, regular and overtime, changed?</v>
      </c>
      <c r="C17" s="239"/>
      <c r="D17" s="75"/>
      <c r="E17" s="9" t="str">
        <f>IF(OR(C17="Yes"),Questions!B3,"")</f>
        <v/>
      </c>
      <c r="F17" s="91" t="str">
        <f>IF(OR(C17="Yes"),'2019 Data'!D13,"")</f>
        <v/>
      </c>
      <c r="G17" s="9" t="str">
        <f>IF(OR(C17="Yes"),Questions!B4,"")</f>
        <v/>
      </c>
      <c r="H17" s="87"/>
      <c r="I17" s="36" t="str">
        <f>IF(OR(C17="Yes"),Questions!B5,"")</f>
        <v/>
      </c>
      <c r="J17" s="50" t="str">
        <f>IF(OR(C17="Yes"),SUM(H17-F17),"")</f>
        <v/>
      </c>
    </row>
    <row r="18" spans="1:11" ht="63" hidden="1" customHeight="1" x14ac:dyDescent="0.25">
      <c r="A18" s="253"/>
      <c r="B18" s="248"/>
      <c r="C18" s="240"/>
      <c r="D18" s="77"/>
      <c r="E18" s="9" t="str">
        <f>IF(OR(C17="Yes"),Questions!B6,"")</f>
        <v/>
      </c>
      <c r="F18" s="91" t="str">
        <f>IF(OR(C17="Yes"),'2019 Data'!D14,"")</f>
        <v/>
      </c>
      <c r="G18" s="9" t="str">
        <f>IF(OR(C17="Yes"),Questions!B7,"")</f>
        <v/>
      </c>
      <c r="H18" s="87"/>
      <c r="I18" s="36" t="str">
        <f>IF(OR(C17="Yes"),Questions!B8,"")</f>
        <v/>
      </c>
      <c r="J18" s="50" t="str">
        <f>IF(OR(C17="Yes"),SUM(H18-F18),"")</f>
        <v/>
      </c>
    </row>
    <row r="19" spans="1:11" ht="63" hidden="1" customHeight="1" x14ac:dyDescent="0.25">
      <c r="A19" s="253"/>
      <c r="B19" s="95" t="str">
        <f>Questions!B9</f>
        <v>Do you purchase water for resale?</v>
      </c>
      <c r="C19" s="33"/>
      <c r="D19" s="72"/>
      <c r="E19" s="10" t="str">
        <f>IF(OR(C19="Yes"),Questions!B10,"")</f>
        <v/>
      </c>
      <c r="F19" s="89" t="str">
        <f>IF(OR(C19="Yes"),'2019 Data'!D15,"")</f>
        <v/>
      </c>
      <c r="G19" s="10" t="str">
        <f>IF(OR(C19="Yes"),Questions!B11,"")</f>
        <v/>
      </c>
      <c r="H19" s="87"/>
      <c r="I19" s="34" t="str">
        <f>IF(OR(C19="Yes"),Questions!B12,"")</f>
        <v/>
      </c>
      <c r="J19" s="47" t="str">
        <f t="shared" ref="J19:J22" si="1">IF(OR(C19="Yes"),SUM(H19-F19),"")</f>
        <v/>
      </c>
    </row>
    <row r="20" spans="1:11" ht="63" hidden="1" customHeight="1" x14ac:dyDescent="0.25">
      <c r="A20" s="253"/>
      <c r="B20" s="97" t="s">
        <v>193</v>
      </c>
      <c r="C20" s="33"/>
      <c r="D20" s="72"/>
      <c r="E20" s="69" t="str">
        <f>IF(OR(C20="Yes"),Questions!B14,"")</f>
        <v/>
      </c>
      <c r="F20" s="91" t="str">
        <f>IF(OR(C20="Yes"),'2019 Data'!D16,"")</f>
        <v/>
      </c>
      <c r="G20" s="69" t="str">
        <f>IF(OR(C20="Yes"),Questions!B15,"")</f>
        <v/>
      </c>
      <c r="H20" s="87"/>
      <c r="I20" s="36" t="str">
        <f>IF(OR(C20="Yes"),Questions!B16,"")</f>
        <v/>
      </c>
      <c r="J20" s="50" t="str">
        <f t="shared" si="1"/>
        <v/>
      </c>
    </row>
    <row r="21" spans="1:11" ht="63" hidden="1" customHeight="1" x14ac:dyDescent="0.25">
      <c r="A21" s="253"/>
      <c r="B21" s="95" t="str">
        <f>Questions!B17</f>
        <v>Have your chemical usages changed?</v>
      </c>
      <c r="C21" s="33"/>
      <c r="D21" s="72"/>
      <c r="E21" s="6" t="str">
        <f>IF(OR(C21="Yes"),Questions!B18,"")</f>
        <v/>
      </c>
      <c r="F21" s="89" t="str">
        <f>IF(OR(C21="Yes"),'2019 Data'!D17,"")</f>
        <v/>
      </c>
      <c r="G21" s="6" t="str">
        <f>IF(OR(C21="Yes"),Questions!B19,"")</f>
        <v/>
      </c>
      <c r="H21" s="87"/>
      <c r="I21" s="34" t="str">
        <f>IF(OR(C21="Yes"),Questions!B20,"")</f>
        <v/>
      </c>
      <c r="J21" s="47" t="str">
        <f t="shared" si="1"/>
        <v/>
      </c>
    </row>
    <row r="22" spans="1:11" ht="63" hidden="1" customHeight="1" x14ac:dyDescent="0.25">
      <c r="A22" s="253"/>
      <c r="B22" s="97" t="str">
        <f>Questions!B21</f>
        <v>Have your disposal costs changed?</v>
      </c>
      <c r="C22" s="33"/>
      <c r="D22" s="72"/>
      <c r="E22" s="9" t="str">
        <f>IF(OR(C22="Yes"),Questions!B22,"")</f>
        <v/>
      </c>
      <c r="F22" s="91" t="str">
        <f>IF(OR(C22="Yes"),'2019 Data'!D18,"")</f>
        <v/>
      </c>
      <c r="G22" s="9" t="str">
        <f>IF(OR(C22="Yes"),Questions!B23,"")</f>
        <v/>
      </c>
      <c r="H22" s="87"/>
      <c r="I22" s="36" t="str">
        <f>IF(OR(C22="Yes"),Questions!B24,"")</f>
        <v/>
      </c>
      <c r="J22" s="50" t="str">
        <f t="shared" si="1"/>
        <v/>
      </c>
    </row>
    <row r="23" spans="1:11" ht="63" hidden="1" customHeight="1" x14ac:dyDescent="0.25">
      <c r="A23" s="253"/>
      <c r="B23" s="60" t="str">
        <f>Questions!B25</f>
        <v>Have your testing expenses changed?</v>
      </c>
      <c r="C23" s="33"/>
      <c r="D23" s="72"/>
      <c r="E23" s="6" t="str">
        <f>IF(OR(C23="Yes"),Questions!B26,"")</f>
        <v/>
      </c>
      <c r="F23" s="89" t="str">
        <f>IF(OR(C23="Yes"),'2019 Data'!D19,"")</f>
        <v/>
      </c>
      <c r="G23" s="6" t="str">
        <f>IF(OR(C23="Yes"),Questions!B27,"")</f>
        <v/>
      </c>
      <c r="H23" s="87"/>
      <c r="I23" s="34" t="str">
        <f>IF(OR(C23="Yes"),Questions!B28,"")</f>
        <v/>
      </c>
      <c r="J23" s="47" t="str">
        <f t="shared" ref="J23:J30" si="2">IF(OR(C23="Yes"),SUM(H23-F23),"")</f>
        <v/>
      </c>
    </row>
    <row r="24" spans="1:11" ht="63" hidden="1" customHeight="1" x14ac:dyDescent="0.25">
      <c r="A24" s="253"/>
      <c r="B24" s="64" t="str">
        <f>Questions!B29</f>
        <v>Has there been a change in the system's energy bill?</v>
      </c>
      <c r="C24" s="33"/>
      <c r="D24" s="72"/>
      <c r="E24" s="9" t="str">
        <f>IF(OR(C24="Yes"),Questions!B30,"")</f>
        <v/>
      </c>
      <c r="F24" s="91" t="str">
        <f>IF(OR(C24="Yes"),'2019 Data'!D20,"")</f>
        <v/>
      </c>
      <c r="G24" s="9" t="str">
        <f>IF(OR(C24="Yes"),Questions!B31,"")</f>
        <v/>
      </c>
      <c r="H24" s="87"/>
      <c r="I24" s="36" t="str">
        <f>IF(OR(C24="Yes"),Questions!B32,"")</f>
        <v/>
      </c>
      <c r="J24" s="50" t="str">
        <f t="shared" si="2"/>
        <v/>
      </c>
    </row>
    <row r="25" spans="1:11" ht="63" hidden="1" customHeight="1" x14ac:dyDescent="0.25">
      <c r="A25" s="253"/>
      <c r="B25" s="60" t="str">
        <f>Questions!B33</f>
        <v>Has there been a change in the system's other utility services?</v>
      </c>
      <c r="C25" s="33"/>
      <c r="D25" s="72"/>
      <c r="E25" s="7" t="str">
        <f>IF(OR(C25="Yes"),Questions!B34,"")</f>
        <v/>
      </c>
      <c r="F25" s="90" t="str">
        <f>IF(OR(C25="Yes"),'2019 Data'!D21,"")</f>
        <v/>
      </c>
      <c r="G25" s="6" t="str">
        <f>IF(OR(C25="Yes"),Questions!B35,"")</f>
        <v/>
      </c>
      <c r="H25" s="87"/>
      <c r="I25" s="34" t="str">
        <f>IF(OR(C25="Yes"),Questions!B36,"")</f>
        <v/>
      </c>
      <c r="J25" s="47" t="str">
        <f t="shared" si="2"/>
        <v/>
      </c>
    </row>
    <row r="26" spans="1:11" ht="63" hidden="1" customHeight="1" x14ac:dyDescent="0.25">
      <c r="A26" s="253"/>
      <c r="B26" s="64" t="str">
        <f>Questions!B37</f>
        <v>Has there been a change in use of supplies (supply chains)?</v>
      </c>
      <c r="C26" s="33"/>
      <c r="D26" s="72"/>
      <c r="E26" s="9" t="str">
        <f>IF(OR(C26="Yes"),Questions!B38,"")</f>
        <v/>
      </c>
      <c r="F26" s="91" t="str">
        <f>IF(OR(C26="Yes"),'2019 Data'!D22,"")</f>
        <v/>
      </c>
      <c r="G26" s="9" t="str">
        <f>IF(OR(C26="Yes"),Questions!B39,"")</f>
        <v/>
      </c>
      <c r="H26" s="87"/>
      <c r="I26" s="36" t="str">
        <f>IF(OR(C26="Yes"),Questions!B40,"")</f>
        <v/>
      </c>
      <c r="J26" s="50" t="str">
        <f t="shared" si="2"/>
        <v/>
      </c>
    </row>
    <row r="27" spans="1:11" ht="63" hidden="1" customHeight="1" x14ac:dyDescent="0.25">
      <c r="A27" s="253"/>
      <c r="B27" s="60" t="str">
        <f>Questions!B41</f>
        <v>Has there been a change in supplying uniforms/attire?</v>
      </c>
      <c r="C27" s="33"/>
      <c r="D27" s="72"/>
      <c r="E27" s="6" t="str">
        <f>IF(OR(C27="Yes"),Questions!B42,"")</f>
        <v/>
      </c>
      <c r="F27" s="89" t="str">
        <f>IF(OR(C27="Yes"),'2019 Data'!D23,"")</f>
        <v/>
      </c>
      <c r="G27" s="6" t="str">
        <f>IF(OR(C27="Yes"),Questions!B43,"")</f>
        <v/>
      </c>
      <c r="H27" s="87"/>
      <c r="I27" s="34" t="str">
        <f>IF(OR(C27="Yes"),Questions!B44,"")</f>
        <v/>
      </c>
      <c r="J27" s="47" t="str">
        <f t="shared" si="2"/>
        <v/>
      </c>
    </row>
    <row r="28" spans="1:11" ht="63" hidden="1" customHeight="1" x14ac:dyDescent="0.25">
      <c r="A28" s="253"/>
      <c r="B28" s="64" t="str">
        <f>Questions!B45</f>
        <v>Has there been a change in supplying Personal Protection Equipment (PPE) or other materials, such as cloth masks?</v>
      </c>
      <c r="C28" s="33"/>
      <c r="D28" s="72"/>
      <c r="E28" s="9" t="str">
        <f>IF(OR(C28="Yes"),Questions!B46,"")</f>
        <v/>
      </c>
      <c r="F28" s="91" t="str">
        <f>IF(OR(C28="Yes"),'2019 Data'!D24,"")</f>
        <v/>
      </c>
      <c r="G28" s="9" t="str">
        <f>IF(OR(C28="Yes"),Questions!B47,"")</f>
        <v/>
      </c>
      <c r="H28" s="87"/>
      <c r="I28" s="36" t="str">
        <f>IF(OR(C28="Yes"),Questions!B48,"")</f>
        <v/>
      </c>
      <c r="J28" s="50" t="str">
        <f t="shared" si="2"/>
        <v/>
      </c>
    </row>
    <row r="29" spans="1:11" ht="63" hidden="1" customHeight="1" x14ac:dyDescent="0.25">
      <c r="A29" s="253"/>
      <c r="B29" s="60" t="str">
        <f>Questions!B49</f>
        <v>Do you expect a change in the system's interest expenses?</v>
      </c>
      <c r="C29" s="33"/>
      <c r="D29" s="72"/>
      <c r="E29" s="2" t="str">
        <f>IF(OR(C29="Yes"),Questions!B50,"")</f>
        <v/>
      </c>
      <c r="F29" s="89" t="str">
        <f>IF(OR(C29="Yes"),'2019 Data'!D25,"")</f>
        <v/>
      </c>
      <c r="G29" s="2" t="str">
        <f>IF(OR(C29="Yes"),Questions!B51,"")</f>
        <v/>
      </c>
      <c r="H29" s="87"/>
      <c r="I29" s="34" t="str">
        <f>IF(OR(C29="Yes"),Questions!B52,"")</f>
        <v/>
      </c>
      <c r="J29" s="47" t="str">
        <f t="shared" si="2"/>
        <v/>
      </c>
    </row>
    <row r="30" spans="1:11" ht="63" hidden="1" customHeight="1" x14ac:dyDescent="0.25">
      <c r="A30" s="253"/>
      <c r="B30" s="247" t="str">
        <f>Questions!B53</f>
        <v>Have you incurred new expenses as a result of COVID-19?</v>
      </c>
      <c r="C30" s="239"/>
      <c r="D30" s="75"/>
      <c r="E30" s="255" t="str">
        <f>IF(OR(C30="Yes"),Questions!B54,"")</f>
        <v/>
      </c>
      <c r="F30" s="255"/>
      <c r="G30" s="256"/>
      <c r="H30" s="87"/>
      <c r="I30" s="36"/>
      <c r="J30" s="50" t="str">
        <f t="shared" si="2"/>
        <v/>
      </c>
      <c r="K30" s="44"/>
    </row>
    <row r="31" spans="1:11" ht="63" hidden="1" customHeight="1" x14ac:dyDescent="0.25">
      <c r="A31" s="253"/>
      <c r="B31" s="248"/>
      <c r="C31" s="240"/>
      <c r="D31" s="74"/>
      <c r="E31" s="255" t="str">
        <f>IF(OR(C30="Yes"),Questions!B57,"")</f>
        <v/>
      </c>
      <c r="F31" s="255"/>
      <c r="G31" s="256"/>
      <c r="H31" s="87"/>
      <c r="I31" s="36" t="str">
        <f>IF(OR(C31="Yes"),Questions!B51,"")</f>
        <v/>
      </c>
      <c r="J31" s="50" t="str">
        <f>IF(OR(C30="Yes"),SUM(H30-F30),"")</f>
        <v/>
      </c>
      <c r="K31" s="44"/>
    </row>
    <row r="32" spans="1:11" ht="63" hidden="1" customHeight="1" x14ac:dyDescent="0.25">
      <c r="A32" s="253"/>
      <c r="B32" s="62" t="str">
        <f>Questions!B58</f>
        <v>Do you have additional expenses that have not been identified?</v>
      </c>
      <c r="C32" s="33"/>
      <c r="D32" s="72"/>
      <c r="E32" s="10" t="str">
        <f>IF(OR(C32="Yes"),Questions!B59,"")</f>
        <v/>
      </c>
      <c r="F32" s="89" t="str">
        <f>IF(OR(C32="Yes"),'2019 Data'!D26,"")</f>
        <v/>
      </c>
      <c r="G32" s="10" t="str">
        <f>IF(OR(C32="Yes"),Questions!B60,"")</f>
        <v/>
      </c>
      <c r="H32" s="87"/>
      <c r="I32" s="34" t="str">
        <f>IF(OR(C32="Yes"),Questions!B61,"")</f>
        <v/>
      </c>
      <c r="J32" s="47" t="str">
        <f>IF(OR(C32="Yes"),SUM(H32-F32),"")</f>
        <v/>
      </c>
    </row>
    <row r="33" spans="1:11" ht="63" hidden="1" customHeight="1" x14ac:dyDescent="0.25">
      <c r="A33" s="254"/>
      <c r="B33" s="63"/>
      <c r="C33" s="9"/>
      <c r="D33" s="80"/>
      <c r="E33" s="12" t="s">
        <v>2</v>
      </c>
      <c r="F33" s="51">
        <f>SUM(F17:F32)</f>
        <v>0</v>
      </c>
      <c r="G33" s="12" t="s">
        <v>78</v>
      </c>
      <c r="H33" s="51">
        <f>SUM(H17:H32)</f>
        <v>0</v>
      </c>
      <c r="I33" s="26" t="s">
        <v>103</v>
      </c>
      <c r="J33" s="51">
        <f>SUM(J17:J32)</f>
        <v>0</v>
      </c>
    </row>
    <row r="34" spans="1:11" ht="63" customHeight="1" x14ac:dyDescent="0.25">
      <c r="A34" s="43" t="s">
        <v>18</v>
      </c>
      <c r="B34" s="59"/>
      <c r="C34" s="2"/>
      <c r="D34" s="82"/>
      <c r="E34" s="13" t="s">
        <v>3</v>
      </c>
      <c r="F34" s="49">
        <f>F14-F33</f>
        <v>0</v>
      </c>
      <c r="G34" s="14" t="s">
        <v>77</v>
      </c>
      <c r="H34" s="49">
        <f>H14-H33</f>
        <v>0</v>
      </c>
      <c r="I34" s="27" t="s">
        <v>4</v>
      </c>
      <c r="J34" s="49">
        <f>J14-J33</f>
        <v>0</v>
      </c>
    </row>
    <row r="35" spans="1:11" ht="75.75" customHeight="1" x14ac:dyDescent="0.25">
      <c r="A35" s="233" t="s">
        <v>13</v>
      </c>
      <c r="B35" s="81" t="str">
        <f>Questions!C2</f>
        <v>Has there been, or do you expect, a change in Accounts receivable?</v>
      </c>
      <c r="C35" s="33"/>
      <c r="D35" s="72"/>
      <c r="E35" s="113" t="str">
        <f>IF(OR(C35="Yes"),Questions!C13,"")</f>
        <v/>
      </c>
      <c r="F35" s="112" t="str">
        <f>IF(OR(C35="Yes"),'2019 Data'!D28,"")</f>
        <v/>
      </c>
      <c r="G35" s="111" t="str">
        <f>IF(OR(C35="Yes"),Questions!C14,"")</f>
        <v/>
      </c>
      <c r="H35" s="92"/>
      <c r="I35" s="38" t="str">
        <f>IF(OR(C35="Yes"),Questions!C28,"")</f>
        <v/>
      </c>
      <c r="J35" s="52" t="str">
        <f>IF(OR(C35="Yes"),SUM(F35-H35),"")</f>
        <v/>
      </c>
      <c r="K35" s="17"/>
    </row>
    <row r="36" spans="1:11" ht="75.75" customHeight="1" x14ac:dyDescent="0.25">
      <c r="A36" s="234"/>
      <c r="B36" s="96" t="str">
        <f>Questions!C3</f>
        <v>Has there been, or do you expect, a change in Accounts payable?</v>
      </c>
      <c r="C36" s="33"/>
      <c r="D36" s="72"/>
      <c r="E36" s="83" t="str">
        <f>IF(OR(C36="Yes"),Questions!C13,"")</f>
        <v/>
      </c>
      <c r="F36" s="93" t="str">
        <f>IF(OR(C36="Yes"),'2019 Data'!D29,"")</f>
        <v/>
      </c>
      <c r="G36" s="31" t="str">
        <f>IF(OR(C36="Yes"),Questions!C14,"")</f>
        <v/>
      </c>
      <c r="H36" s="92"/>
      <c r="I36" s="34" t="str">
        <f>IF(OR(C36="Yes"),Questions!C28,"")</f>
        <v/>
      </c>
      <c r="J36" s="47" t="str">
        <f>IF(OR(C36="Yes"),SUM(H36-F36),"")</f>
        <v/>
      </c>
    </row>
    <row r="37" spans="1:11" ht="75.75" customHeight="1" x14ac:dyDescent="0.25">
      <c r="A37" s="234"/>
      <c r="B37" s="81" t="str">
        <f>Questions!C4</f>
        <v>Will you delay pension fund contributions?</v>
      </c>
      <c r="C37" s="33"/>
      <c r="D37" s="72"/>
      <c r="E37" s="109" t="str">
        <f>IF(OR(C37="Yes"),Questions!C13,"")</f>
        <v/>
      </c>
      <c r="F37" s="110" t="str">
        <f>IF(OR(C37="Yes"),'2019 Data'!D30,"")</f>
        <v/>
      </c>
      <c r="G37" s="111" t="str">
        <f>IF(OR(C37="Yes"),Questions!C14,"")</f>
        <v/>
      </c>
      <c r="H37" s="92"/>
      <c r="I37" s="38" t="str">
        <f>IF(OR(C37="Yes"),Questions!C28,"")</f>
        <v/>
      </c>
      <c r="J37" s="52" t="str">
        <f>IF(OR(C37="Yes"),SUM(F37-H37),"")</f>
        <v/>
      </c>
      <c r="K37" s="44"/>
    </row>
    <row r="38" spans="1:11" ht="75.75" customHeight="1" x14ac:dyDescent="0.25">
      <c r="A38" s="234"/>
      <c r="B38" s="237" t="str">
        <f>Questions!C5</f>
        <v>Are there inter-agency funds transfers that have occurred, or that will occur?</v>
      </c>
      <c r="C38" s="239"/>
      <c r="D38" s="75"/>
      <c r="E38" s="83" t="str">
        <f>IF(OR(C38="Yes"),Questions!C15,"")</f>
        <v/>
      </c>
      <c r="F38" s="93" t="str">
        <f>IF(OR(C38="Yes"),'2019 Data'!D31,"")</f>
        <v/>
      </c>
      <c r="G38" s="31" t="str">
        <f>IF(OR(C38="Yes"),Questions!C16,"")</f>
        <v/>
      </c>
      <c r="H38" s="92"/>
      <c r="I38" s="34" t="str">
        <f>IF(OR(C38="Yes"),Questions!C28,"")</f>
        <v/>
      </c>
      <c r="J38" s="47" t="str">
        <f>IF(OR(C38="Yes"),SUM(F38-H38),"")</f>
        <v/>
      </c>
      <c r="K38" s="44"/>
    </row>
    <row r="39" spans="1:11" ht="75.75" customHeight="1" x14ac:dyDescent="0.25">
      <c r="A39" s="234"/>
      <c r="B39" s="238"/>
      <c r="C39" s="240"/>
      <c r="D39" s="74"/>
      <c r="E39" s="83" t="str">
        <f>IF(OR(C38="Yes"),Questions!C17,"")</f>
        <v/>
      </c>
      <c r="F39" s="93" t="str">
        <f>IF(OR(C38="Yes"),'2019 Data'!D32,"")</f>
        <v/>
      </c>
      <c r="G39" s="31" t="str">
        <f>IF(OR(C38="Yes"),Questions!C18,"")</f>
        <v/>
      </c>
      <c r="H39" s="92"/>
      <c r="I39" s="34" t="str">
        <f>IF(OR(C38="Yes"),Questions!C28,"")</f>
        <v/>
      </c>
      <c r="J39" s="47" t="str">
        <f>IF(OR(C38="Yes"),SUM(H39-F39),"")</f>
        <v/>
      </c>
      <c r="K39" s="44"/>
    </row>
    <row r="40" spans="1:11" ht="75.75" customHeight="1" x14ac:dyDescent="0.25">
      <c r="A40" s="234"/>
      <c r="B40" s="106" t="str">
        <f>Questions!C6</f>
        <v>Has there been, or do you expect, a change in the system's rate structure such as a delay in implementing a rate increase or temporary rate reductions?</v>
      </c>
      <c r="C40" s="33"/>
      <c r="D40" s="72"/>
      <c r="E40" s="58" t="str">
        <f>IF(OR(C40="Yes"),Questions!C19,"")</f>
        <v/>
      </c>
      <c r="F40" s="94" t="str">
        <f>IF(OR(C40="Yes"),'2019 Data'!D33,"")</f>
        <v/>
      </c>
      <c r="G40" s="37" t="str">
        <f>IF(OR(C40="Yes"),Questions!C20,"")</f>
        <v/>
      </c>
      <c r="H40" s="92"/>
      <c r="I40" s="38" t="str">
        <f>IF(OR(C40="Yes"),Questions!C28,"")</f>
        <v/>
      </c>
      <c r="J40" s="52" t="str">
        <f>IF(OR(C40="Yes"),SUM(H40-F40),"")</f>
        <v/>
      </c>
    </row>
    <row r="41" spans="1:11" ht="75.75" customHeight="1" x14ac:dyDescent="0.25">
      <c r="A41" s="234"/>
      <c r="B41" s="105" t="str">
        <f>Questions!C7</f>
        <v>Do you have a rate stabilization fund?</v>
      </c>
      <c r="C41" s="33"/>
      <c r="D41" s="72"/>
      <c r="E41" s="83" t="str">
        <f>IF(OR(C41="Yes"),Questions!C21,"")</f>
        <v/>
      </c>
      <c r="F41" s="93" t="str">
        <f>IF(OR(C41="Yes"),'2019 Data'!D34,"")</f>
        <v/>
      </c>
      <c r="G41" s="31" t="str">
        <f>IF(OR(C41="Yes"),Questions!C22,"")</f>
        <v/>
      </c>
      <c r="H41" s="92"/>
      <c r="I41" s="34" t="str">
        <f>IF(OR(C41="Yes"),Questions!C28,"")</f>
        <v/>
      </c>
      <c r="J41" s="47" t="str">
        <f>IF(OR(C41="Yes"),SUM(H41-F41),"")</f>
        <v/>
      </c>
    </row>
    <row r="42" spans="1:11" ht="75.75" customHeight="1" x14ac:dyDescent="0.25">
      <c r="A42" s="234"/>
      <c r="B42" s="106" t="str">
        <f>Questions!C8</f>
        <v>Has there been, or do you expect, a change in budgeted capital expenditures?</v>
      </c>
      <c r="C42" s="33"/>
      <c r="D42" s="72"/>
      <c r="E42" s="109" t="str">
        <f>IF(OR(C42="Yes"),Questions!C23,"")</f>
        <v/>
      </c>
      <c r="F42" s="110" t="str">
        <f>IF(OR(C42="Yes"),'2019 Data'!D35,"")</f>
        <v/>
      </c>
      <c r="G42" s="37" t="str">
        <f>IF(OR(C42="Yes"),Questions!C24,"")</f>
        <v/>
      </c>
      <c r="H42" s="92"/>
      <c r="I42" s="38" t="str">
        <f>IF(OR(C42="Yes"),Questions!C28,"")</f>
        <v/>
      </c>
      <c r="J42" s="52" t="str">
        <f>IF(OR(C42="Yes"),SUM(F42-H42),"")</f>
        <v/>
      </c>
      <c r="K42" s="44"/>
    </row>
    <row r="43" spans="1:11" ht="75.75" customHeight="1" x14ac:dyDescent="0.25">
      <c r="A43" s="234"/>
      <c r="B43" s="105" t="str">
        <f>Questions!C9</f>
        <v>Are there, or do you expect, a change in expenditures due to delayed construction projects?</v>
      </c>
      <c r="C43" s="33"/>
      <c r="D43" s="72"/>
      <c r="E43" s="231" t="str">
        <f>IF(OR(C43="Yes"),Questions!C25,"")</f>
        <v/>
      </c>
      <c r="F43" s="231"/>
      <c r="G43" s="232"/>
      <c r="H43" s="92"/>
      <c r="I43" s="34" t="str">
        <f>IF(OR(C43="Yes"),Questions!C28,"")</f>
        <v/>
      </c>
      <c r="J43" s="47" t="str">
        <f>IF(OR(C43="Yes"),H43,"")</f>
        <v/>
      </c>
      <c r="K43" s="44"/>
    </row>
    <row r="44" spans="1:11" ht="75.75" customHeight="1" x14ac:dyDescent="0.25">
      <c r="A44" s="234"/>
      <c r="B44" s="106" t="str">
        <f>Questions!C10</f>
        <v>Will you attempt to restructure existing debt?</v>
      </c>
      <c r="C44" s="33"/>
      <c r="D44" s="72"/>
      <c r="E44" s="229" t="str">
        <f>IF(OR(C44="Yes"),Questions!C25,"")</f>
        <v/>
      </c>
      <c r="F44" s="229"/>
      <c r="G44" s="230"/>
      <c r="H44" s="92"/>
      <c r="I44" s="38" t="str">
        <f>IF(OR(C44="Yes"),Questions!C28,"")</f>
        <v/>
      </c>
      <c r="J44" s="52" t="str">
        <f>IF(OR(C44="Yes"),H44,"")</f>
        <v/>
      </c>
      <c r="K44" s="44"/>
    </row>
    <row r="45" spans="1:11" ht="75.75" customHeight="1" x14ac:dyDescent="0.25">
      <c r="A45" s="234"/>
      <c r="B45" s="105" t="str">
        <f>Questions!C11</f>
        <v>Will you incur new debt?</v>
      </c>
      <c r="C45" s="33"/>
      <c r="D45" s="72"/>
      <c r="E45" s="231" t="str">
        <f>IF(OR(C45="Yes"),Questions!C25,"")</f>
        <v/>
      </c>
      <c r="F45" s="231"/>
      <c r="G45" s="232"/>
      <c r="H45" s="92"/>
      <c r="I45" s="114" t="str">
        <f>IF(OR(C45="Yes"),Questions!C28,"")</f>
        <v/>
      </c>
      <c r="J45" s="53" t="str">
        <f>IF(OR(C45="Yes"),H45,"")</f>
        <v/>
      </c>
      <c r="K45" s="44"/>
    </row>
    <row r="46" spans="1:11" ht="75.75" customHeight="1" x14ac:dyDescent="0.25">
      <c r="A46" s="235"/>
      <c r="B46" s="108" t="str">
        <f>Questions!C12</f>
        <v>Do you have available cash on hand?</v>
      </c>
      <c r="C46" s="66"/>
      <c r="D46" s="72"/>
      <c r="E46" s="229" t="str">
        <f>IF(OR(C46="Yes"),Questions!C26,"")</f>
        <v/>
      </c>
      <c r="F46" s="229"/>
      <c r="G46" s="230"/>
      <c r="H46" s="32"/>
      <c r="I46" s="38" t="str">
        <f>IF(OR(C46="Yes"),Questions!C28,"")</f>
        <v/>
      </c>
      <c r="J46" s="52" t="str">
        <f>IF(OR(C46="Yes"),H46,"")</f>
        <v/>
      </c>
      <c r="K46" s="44"/>
    </row>
    <row r="47" spans="1:11" ht="75.75" customHeight="1" x14ac:dyDescent="0.25">
      <c r="A47" s="235"/>
      <c r="B47" s="59" t="s">
        <v>254</v>
      </c>
      <c r="C47" s="33"/>
      <c r="D47" s="72"/>
      <c r="E47" s="231" t="str">
        <f>IF(OR(C47="Yes"),Questions!C27,"")</f>
        <v/>
      </c>
      <c r="F47" s="231"/>
      <c r="G47" s="232"/>
      <c r="H47" s="107"/>
      <c r="I47" s="34" t="str">
        <f>IF(OR(C47="Yes"),Questions!C28,"")</f>
        <v/>
      </c>
      <c r="J47" s="47" t="str">
        <f>IF(OR(C47="Yes"),H47,"")</f>
        <v/>
      </c>
      <c r="K47" s="44"/>
    </row>
    <row r="48" spans="1:11" ht="75.75" customHeight="1" x14ac:dyDescent="0.25">
      <c r="A48" s="236"/>
      <c r="B48" s="61"/>
      <c r="C48" s="85"/>
      <c r="D48" s="58"/>
      <c r="E48" s="84" t="s">
        <v>93</v>
      </c>
      <c r="F48" s="65">
        <f>SUM(F35:F47)</f>
        <v>0</v>
      </c>
      <c r="G48" s="45" t="s">
        <v>98</v>
      </c>
      <c r="H48" s="65">
        <f>SUM(H35:H47)</f>
        <v>0</v>
      </c>
      <c r="I48" s="56" t="s">
        <v>99</v>
      </c>
      <c r="J48" s="57">
        <f>SUM(J35:J47)</f>
        <v>0</v>
      </c>
    </row>
    <row r="49" spans="10:10" x14ac:dyDescent="0.25">
      <c r="J49" s="25"/>
    </row>
  </sheetData>
  <mergeCells count="19">
    <mergeCell ref="C17:C18"/>
    <mergeCell ref="B30:B31"/>
    <mergeCell ref="C30:C31"/>
    <mergeCell ref="A1:J1"/>
    <mergeCell ref="E30:G30"/>
    <mergeCell ref="E31:G31"/>
    <mergeCell ref="A2:A14"/>
    <mergeCell ref="B2:B3"/>
    <mergeCell ref="A15:A33"/>
    <mergeCell ref="B15:B16"/>
    <mergeCell ref="B17:B18"/>
    <mergeCell ref="A35:A48"/>
    <mergeCell ref="B38:B39"/>
    <mergeCell ref="C38:C39"/>
    <mergeCell ref="E44:G44"/>
    <mergeCell ref="E45:G45"/>
    <mergeCell ref="E46:G46"/>
    <mergeCell ref="E43:G43"/>
    <mergeCell ref="E47:G47"/>
  </mergeCells>
  <dataValidations count="1">
    <dataValidation type="list" allowBlank="1" showInputMessage="1" showErrorMessage="1" sqref="C4:C13 C17:C32 C35:C38 C40:C47 F9" xr:uid="{936534D6-C3E8-4CF3-8D48-CEDE4D16D4B2}">
      <formula1>"Yes,No"</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721" r:id="rId4" name="CommandButton1">
          <controlPr defaultSize="0" autoLine="0" r:id="rId5">
            <anchor moveWithCells="1">
              <from>
                <xdr:col>2</xdr:col>
                <xdr:colOff>200025</xdr:colOff>
                <xdr:row>1</xdr:row>
                <xdr:rowOff>95250</xdr:rowOff>
              </from>
              <to>
                <xdr:col>2</xdr:col>
                <xdr:colOff>828675</xdr:colOff>
                <xdr:row>1</xdr:row>
                <xdr:rowOff>666750</xdr:rowOff>
              </to>
            </anchor>
          </controlPr>
        </control>
      </mc:Choice>
      <mc:Fallback>
        <control shapeId="30721" r:id="rId4" name="CommandButton1"/>
      </mc:Fallback>
    </mc:AlternateContent>
    <mc:AlternateContent xmlns:mc="http://schemas.openxmlformats.org/markup-compatibility/2006">
      <mc:Choice Requires="x14">
        <control shapeId="30722" r:id="rId6" name="CommandButton2">
          <controlPr defaultSize="0" autoLine="0" r:id="rId7">
            <anchor moveWithCells="1">
              <from>
                <xdr:col>2</xdr:col>
                <xdr:colOff>200025</xdr:colOff>
                <xdr:row>2</xdr:row>
                <xdr:rowOff>85725</xdr:rowOff>
              </from>
              <to>
                <xdr:col>2</xdr:col>
                <xdr:colOff>809625</xdr:colOff>
                <xdr:row>2</xdr:row>
                <xdr:rowOff>647700</xdr:rowOff>
              </to>
            </anchor>
          </controlPr>
        </control>
      </mc:Choice>
      <mc:Fallback>
        <control shapeId="30722" r:id="rId6" name="CommandButton2"/>
      </mc:Fallback>
    </mc:AlternateContent>
    <mc:AlternateContent xmlns:mc="http://schemas.openxmlformats.org/markup-compatibility/2006">
      <mc:Choice Requires="x14">
        <control shapeId="30723" r:id="rId8" name="CommandButton3">
          <controlPr defaultSize="0" autoLine="0" r:id="rId9">
            <anchor moveWithCells="1">
              <from>
                <xdr:col>2</xdr:col>
                <xdr:colOff>180975</xdr:colOff>
                <xdr:row>14</xdr:row>
                <xdr:rowOff>133350</xdr:rowOff>
              </from>
              <to>
                <xdr:col>2</xdr:col>
                <xdr:colOff>800100</xdr:colOff>
                <xdr:row>14</xdr:row>
                <xdr:rowOff>695325</xdr:rowOff>
              </to>
            </anchor>
          </controlPr>
        </control>
      </mc:Choice>
      <mc:Fallback>
        <control shapeId="30723" r:id="rId8" name="CommandButton3"/>
      </mc:Fallback>
    </mc:AlternateContent>
    <mc:AlternateContent xmlns:mc="http://schemas.openxmlformats.org/markup-compatibility/2006">
      <mc:Choice Requires="x14">
        <control shapeId="30724" r:id="rId10" name="CommandButton4">
          <controlPr defaultSize="0" autoLine="0" r:id="rId11">
            <anchor moveWithCells="1">
              <from>
                <xdr:col>2</xdr:col>
                <xdr:colOff>190500</xdr:colOff>
                <xdr:row>15</xdr:row>
                <xdr:rowOff>114300</xdr:rowOff>
              </from>
              <to>
                <xdr:col>2</xdr:col>
                <xdr:colOff>809625</xdr:colOff>
                <xdr:row>15</xdr:row>
                <xdr:rowOff>666750</xdr:rowOff>
              </to>
            </anchor>
          </controlPr>
        </control>
      </mc:Choice>
      <mc:Fallback>
        <control shapeId="30724" r:id="rId10" name="CommandButton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B1380-4E8C-4FE5-A031-AFD60C05ADB8}">
  <sheetPr codeName="Sheet7">
    <tabColor theme="5"/>
  </sheetPr>
  <dimension ref="A1:K49"/>
  <sheetViews>
    <sheetView zoomScaleNormal="100" workbookViewId="0">
      <pane ySplit="1" topLeftCell="A2" activePane="bottomLeft" state="frozen"/>
      <selection activeCell="K3" sqref="K3"/>
      <selection pane="bottomLeft" activeCell="A2" sqref="A2:A14"/>
    </sheetView>
  </sheetViews>
  <sheetFormatPr defaultColWidth="9.140625" defaultRowHeight="15" x14ac:dyDescent="0.25"/>
  <cols>
    <col min="1" max="1" width="10.7109375" style="15" customWidth="1"/>
    <col min="2" max="2" width="28.140625" style="16" customWidth="1"/>
    <col min="3" max="3" width="14" style="17" customWidth="1"/>
    <col min="4" max="4" width="2.7109375" style="4" customWidth="1"/>
    <col min="5" max="5" width="28.42578125" style="17" customWidth="1"/>
    <col min="6" max="6" width="17.7109375" style="18" customWidth="1"/>
    <col min="7" max="7" width="31.140625" style="17" customWidth="1"/>
    <col min="8" max="8" width="17.7109375" style="18" customWidth="1"/>
    <col min="9" max="9" width="23.140625" style="25" customWidth="1"/>
    <col min="10" max="10" width="17.7109375" style="19" customWidth="1"/>
    <col min="11" max="11" width="22.7109375" style="4" bestFit="1" customWidth="1"/>
    <col min="12" max="16384" width="9.140625" style="4"/>
  </cols>
  <sheetData>
    <row r="1" spans="1:10" s="1" customFormat="1" ht="27.75" customHeight="1" thickTop="1" x14ac:dyDescent="0.25">
      <c r="A1" s="241" t="s">
        <v>167</v>
      </c>
      <c r="B1" s="242"/>
      <c r="C1" s="242"/>
      <c r="D1" s="242"/>
      <c r="E1" s="242"/>
      <c r="F1" s="242"/>
      <c r="G1" s="242"/>
      <c r="H1" s="242"/>
      <c r="I1" s="242"/>
      <c r="J1" s="242"/>
    </row>
    <row r="2" spans="1:10" ht="63" customHeight="1" x14ac:dyDescent="0.25">
      <c r="A2" s="249" t="s">
        <v>1</v>
      </c>
      <c r="B2" s="243" t="s">
        <v>11</v>
      </c>
      <c r="C2" s="66"/>
      <c r="D2" s="75"/>
      <c r="E2" s="2"/>
      <c r="F2" s="3"/>
      <c r="G2" s="2"/>
      <c r="H2" s="3"/>
      <c r="I2" s="24"/>
      <c r="J2" s="53"/>
    </row>
    <row r="3" spans="1:10" ht="63" customHeight="1" x14ac:dyDescent="0.25">
      <c r="A3" s="250"/>
      <c r="B3" s="244"/>
      <c r="C3" s="68"/>
      <c r="D3" s="76"/>
      <c r="E3" s="73" t="s">
        <v>87</v>
      </c>
      <c r="F3" s="11"/>
      <c r="G3" s="10"/>
      <c r="H3" s="11"/>
      <c r="I3" s="54"/>
      <c r="J3" s="55"/>
    </row>
    <row r="4" spans="1:10" ht="63" hidden="1" customHeight="1" x14ac:dyDescent="0.25">
      <c r="A4" s="250"/>
      <c r="B4" s="42" t="str">
        <f>Questions!A2</f>
        <v>Have commercial/industrial revenues been impacted?</v>
      </c>
      <c r="C4" s="68"/>
      <c r="D4" s="74"/>
      <c r="E4" s="30" t="str">
        <f>IF(OR(C4="Yes"),Questions!A3,"")</f>
        <v/>
      </c>
      <c r="F4" s="88" t="str">
        <f>IF(OR(C4="Yes"),'2019 Data'!D3,"")</f>
        <v/>
      </c>
      <c r="G4" s="30" t="str">
        <f>IF(OR(C4="Yes"),Questions!A4,"")</f>
        <v/>
      </c>
      <c r="H4" s="86"/>
      <c r="I4" s="70" t="str">
        <f>IF(OR(C4="Yes"),Questions!A5,"")</f>
        <v/>
      </c>
      <c r="J4" s="71" t="str">
        <f t="shared" ref="J4:J13" si="0">IF(OR(C4="Yes"),SUM(H4-F4),"")</f>
        <v/>
      </c>
    </row>
    <row r="5" spans="1:10" ht="63" hidden="1" customHeight="1" x14ac:dyDescent="0.25">
      <c r="A5" s="250"/>
      <c r="B5" s="60" t="str">
        <f>Questions!A6</f>
        <v>Have residential revenues been impacted?</v>
      </c>
      <c r="C5" s="33"/>
      <c r="D5" s="74"/>
      <c r="E5" s="6" t="str">
        <f>IF(OR(C5="Yes"),Questions!A7,"")</f>
        <v/>
      </c>
      <c r="F5" s="89" t="str">
        <f>IF(OR(C5="Yes"),'2019 Data'!D4,"")</f>
        <v/>
      </c>
      <c r="G5" s="6" t="str">
        <f>IF(OR(C5="Yes"),Questions!A8,"")</f>
        <v/>
      </c>
      <c r="H5" s="87"/>
      <c r="I5" s="34" t="str">
        <f>IF(OR(C5="Yes"),Questions!A9,"")</f>
        <v/>
      </c>
      <c r="J5" s="47" t="str">
        <f t="shared" si="0"/>
        <v/>
      </c>
    </row>
    <row r="6" spans="1:10" ht="63" hidden="1" customHeight="1" x14ac:dyDescent="0.25">
      <c r="A6" s="250"/>
      <c r="B6" s="42" t="str">
        <f>Questions!A10</f>
        <v>Do you sell wholesale water/wastewater treatment?</v>
      </c>
      <c r="C6" s="33"/>
      <c r="D6" s="74"/>
      <c r="E6" s="5" t="str">
        <f>IF(OR(C6="Yes"),Questions!A11,"")</f>
        <v/>
      </c>
      <c r="F6" s="88" t="str">
        <f>IF(OR(C6="Yes"),'2019 Data'!D5,"")</f>
        <v/>
      </c>
      <c r="G6" s="5" t="str">
        <f>IF(OR(C6="Yes"),Questions!A12,"")</f>
        <v/>
      </c>
      <c r="H6" s="87"/>
      <c r="I6" s="35" t="str">
        <f>IF(OR(C6="Yes"),Questions!A13,"")</f>
        <v/>
      </c>
      <c r="J6" s="46" t="str">
        <f t="shared" si="0"/>
        <v/>
      </c>
    </row>
    <row r="7" spans="1:10" ht="63" hidden="1" customHeight="1" x14ac:dyDescent="0.25">
      <c r="A7" s="250"/>
      <c r="B7" s="60" t="str">
        <f>Questions!A14</f>
        <v>Do you charge connection/tap fees?</v>
      </c>
      <c r="C7" s="33"/>
      <c r="D7" s="74"/>
      <c r="E7" s="6" t="str">
        <f>IF(OR(C7="Yes"),Questions!A15,"")</f>
        <v/>
      </c>
      <c r="F7" s="89" t="str">
        <f>IF(OR(C7="Yes"),'2019 Data'!D6,"")</f>
        <v/>
      </c>
      <c r="G7" s="6" t="str">
        <f>IF(OR(C7="Yes"),Questions!A16,"")</f>
        <v/>
      </c>
      <c r="H7" s="87"/>
      <c r="I7" s="34" t="str">
        <f>IF(OR(C7="Yes"),Questions!A17,"")</f>
        <v/>
      </c>
      <c r="J7" s="47" t="str">
        <f t="shared" si="0"/>
        <v/>
      </c>
    </row>
    <row r="8" spans="1:10" ht="63" hidden="1" customHeight="1" x14ac:dyDescent="0.25">
      <c r="A8" s="250"/>
      <c r="B8" s="42" t="str">
        <f>Questions!A18</f>
        <v>Are you suspending late fees?</v>
      </c>
      <c r="C8" s="33"/>
      <c r="D8" s="74"/>
      <c r="E8" s="5" t="str">
        <f>IF(OR(C8="Yes"),Questions!A19,"")</f>
        <v/>
      </c>
      <c r="F8" s="88" t="str">
        <f>IF(OR(C8="Yes"),'2019 Data'!D7,"")</f>
        <v/>
      </c>
      <c r="G8" s="5" t="str">
        <f>IF(OR(C8="Yes"),Questions!A20,"")</f>
        <v/>
      </c>
      <c r="H8" s="87"/>
      <c r="I8" s="35" t="str">
        <f>IF(OR(C8="Yes"),Questions!A21,"")</f>
        <v/>
      </c>
      <c r="J8" s="46" t="str">
        <f t="shared" si="0"/>
        <v/>
      </c>
    </row>
    <row r="9" spans="1:10" ht="63" hidden="1" customHeight="1" x14ac:dyDescent="0.25">
      <c r="A9" s="250"/>
      <c r="B9" s="95" t="str">
        <f>Questions!A22</f>
        <v>Are you suspending shutoffs?</v>
      </c>
      <c r="C9" s="33"/>
      <c r="D9" s="74"/>
      <c r="E9" s="6" t="str">
        <f>IF(OR(C9="Yes"),Questions!A23,"")</f>
        <v/>
      </c>
      <c r="F9" s="115"/>
      <c r="G9" s="6" t="str">
        <f>IF(OR(F9="Yes"),Questions!A24,"")</f>
        <v/>
      </c>
      <c r="H9" s="87"/>
      <c r="I9" s="34" t="str">
        <f>IF(OR(F9="Yes"),Questions!A25,"")</f>
        <v/>
      </c>
      <c r="J9" s="47" t="str">
        <f>IF(OR(F9="Yes"),-H9,"")</f>
        <v/>
      </c>
    </row>
    <row r="10" spans="1:10" ht="63" hidden="1" customHeight="1" x14ac:dyDescent="0.25">
      <c r="A10" s="250"/>
      <c r="B10" s="42" t="str">
        <f>Questions!A26</f>
        <v>Does your system receive tax revenue either directly or from a parent agency?</v>
      </c>
      <c r="C10" s="33"/>
      <c r="D10" s="74"/>
      <c r="E10" s="5" t="str">
        <f>IF(OR(C10="Yes"),Questions!A27,"")</f>
        <v/>
      </c>
      <c r="F10" s="88" t="str">
        <f>IF(OR(C10="Yes"),'2019 Data'!D8,"")</f>
        <v/>
      </c>
      <c r="G10" s="29" t="str">
        <f>IF(OR(C10="Yes"),Questions!A28,"")</f>
        <v/>
      </c>
      <c r="H10" s="87"/>
      <c r="I10" s="35" t="str">
        <f>IF(OR(C10="Yes"),Questions!A29,"")</f>
        <v/>
      </c>
      <c r="J10" s="46" t="str">
        <f t="shared" si="0"/>
        <v/>
      </c>
    </row>
    <row r="11" spans="1:10" ht="63" hidden="1" customHeight="1" x14ac:dyDescent="0.25">
      <c r="A11" s="250"/>
      <c r="B11" s="60" t="str">
        <f>Questions!A30</f>
        <v>Do you sell byproducts (e.g., biosolids, electricity, etc.)?</v>
      </c>
      <c r="C11" s="33"/>
      <c r="D11" s="74"/>
      <c r="E11" s="6" t="str">
        <f>IF(OR(C11="Yes"),Questions!A31,"")</f>
        <v/>
      </c>
      <c r="F11" s="89" t="str">
        <f>IF(OR(C11="Yes"),'2019 Data'!D9,"")</f>
        <v/>
      </c>
      <c r="G11" s="83" t="str">
        <f>IF(OR(C11="Yes"),Questions!A32,"")</f>
        <v/>
      </c>
      <c r="H11" s="87"/>
      <c r="I11" s="34" t="str">
        <f>IF(OR(C11="Yes"),Questions!A33,"")</f>
        <v/>
      </c>
      <c r="J11" s="47" t="str">
        <f t="shared" si="0"/>
        <v/>
      </c>
    </row>
    <row r="12" spans="1:10" ht="63" hidden="1" customHeight="1" x14ac:dyDescent="0.25">
      <c r="A12" s="250"/>
      <c r="B12" s="42" t="str">
        <f>Questions!A34</f>
        <v>Do you generate interest income from cash on hand?</v>
      </c>
      <c r="C12" s="33"/>
      <c r="D12" s="74"/>
      <c r="E12" s="5" t="str">
        <f>IF(OR(C12="Yes"),Questions!A35,"")</f>
        <v/>
      </c>
      <c r="F12" s="88" t="str">
        <f>IF(OR(C12="Yes"),'2019 Data'!D10,"")</f>
        <v/>
      </c>
      <c r="G12" s="30" t="str">
        <f>IF(OR(C12="Yes"),Questions!A36,"")</f>
        <v/>
      </c>
      <c r="H12" s="87"/>
      <c r="I12" s="35" t="str">
        <f>IF(OR(C12="Yes"),Questions!A37,"")</f>
        <v/>
      </c>
      <c r="J12" s="46" t="str">
        <f t="shared" si="0"/>
        <v/>
      </c>
    </row>
    <row r="13" spans="1:10" ht="63" hidden="1" customHeight="1" x14ac:dyDescent="0.25">
      <c r="A13" s="250"/>
      <c r="B13" s="62" t="str">
        <f>Questions!A38</f>
        <v>Do you have additional revenue streams that have not been identified?</v>
      </c>
      <c r="C13" s="66"/>
      <c r="D13" s="77"/>
      <c r="E13" s="7" t="str">
        <f>IF(OR(C13="Yes"),Questions!A39,"")</f>
        <v/>
      </c>
      <c r="F13" s="90" t="str">
        <f>IF(OR(C13="Yes"),'2019 Data'!D11,"")</f>
        <v/>
      </c>
      <c r="G13" s="6" t="str">
        <f>IF(OR(C13="Yes"),Questions!A40,"")</f>
        <v/>
      </c>
      <c r="H13" s="87"/>
      <c r="I13" s="34" t="str">
        <f>IF(OR(C13="Yes"),Questions!A41,"")</f>
        <v/>
      </c>
      <c r="J13" s="47" t="str">
        <f t="shared" si="0"/>
        <v/>
      </c>
    </row>
    <row r="14" spans="1:10" ht="63" hidden="1" customHeight="1" x14ac:dyDescent="0.25">
      <c r="A14" s="251"/>
      <c r="B14" s="78"/>
      <c r="C14" s="29"/>
      <c r="D14" s="79"/>
      <c r="E14" s="8" t="s">
        <v>0</v>
      </c>
      <c r="F14" s="48">
        <f>SUM(F2:F13)</f>
        <v>0</v>
      </c>
      <c r="G14" s="8" t="s">
        <v>102</v>
      </c>
      <c r="H14" s="48">
        <f>SUM(H2:H13)</f>
        <v>0</v>
      </c>
      <c r="I14" s="28" t="s">
        <v>100</v>
      </c>
      <c r="J14" s="48">
        <f>SUM(J2:J13)</f>
        <v>0</v>
      </c>
    </row>
    <row r="15" spans="1:10" ht="63" customHeight="1" x14ac:dyDescent="0.25">
      <c r="A15" s="252" t="s">
        <v>9</v>
      </c>
      <c r="B15" s="245" t="s">
        <v>298</v>
      </c>
      <c r="C15" s="66"/>
      <c r="D15" s="75"/>
      <c r="E15" s="2"/>
      <c r="F15" s="3"/>
      <c r="G15" s="2"/>
      <c r="H15" s="3"/>
      <c r="I15" s="24"/>
      <c r="J15" s="53"/>
    </row>
    <row r="16" spans="1:10" ht="63" customHeight="1" x14ac:dyDescent="0.25">
      <c r="A16" s="253"/>
      <c r="B16" s="246"/>
      <c r="C16" s="67"/>
      <c r="D16" s="77"/>
      <c r="E16" s="98" t="s">
        <v>245</v>
      </c>
      <c r="F16" s="11"/>
      <c r="G16" s="10"/>
      <c r="H16" s="11"/>
      <c r="I16" s="54"/>
      <c r="J16" s="55"/>
    </row>
    <row r="17" spans="1:11" ht="63" hidden="1" customHeight="1" x14ac:dyDescent="0.25">
      <c r="A17" s="253"/>
      <c r="B17" s="247" t="str">
        <f>Questions!B2</f>
        <v>Have your labor costs, regular and overtime, changed?</v>
      </c>
      <c r="C17" s="239"/>
      <c r="D17" s="75"/>
      <c r="E17" s="9" t="str">
        <f>IF(OR(C17="Yes"),Questions!B3,"")</f>
        <v/>
      </c>
      <c r="F17" s="91" t="str">
        <f>IF(OR(C17="Yes"),'2019 Data'!D13,"")</f>
        <v/>
      </c>
      <c r="G17" s="9" t="str">
        <f>IF(OR(C17="Yes"),Questions!B4,"")</f>
        <v/>
      </c>
      <c r="H17" s="87"/>
      <c r="I17" s="36" t="str">
        <f>IF(OR(C17="Yes"),Questions!B5,"")</f>
        <v/>
      </c>
      <c r="J17" s="50" t="str">
        <f>IF(OR(C17="Yes"),SUM(H17-F17),"")</f>
        <v/>
      </c>
    </row>
    <row r="18" spans="1:11" ht="63" hidden="1" customHeight="1" x14ac:dyDescent="0.25">
      <c r="A18" s="253"/>
      <c r="B18" s="248"/>
      <c r="C18" s="240"/>
      <c r="D18" s="77"/>
      <c r="E18" s="9" t="str">
        <f>IF(OR(C17="Yes"),Questions!B6,"")</f>
        <v/>
      </c>
      <c r="F18" s="91" t="str">
        <f>IF(OR(C17="Yes"),'2019 Data'!D14,"")</f>
        <v/>
      </c>
      <c r="G18" s="9" t="str">
        <f>IF(OR(C17="Yes"),Questions!B7,"")</f>
        <v/>
      </c>
      <c r="H18" s="87"/>
      <c r="I18" s="36" t="str">
        <f>IF(OR(C17="Yes"),Questions!B8,"")</f>
        <v/>
      </c>
      <c r="J18" s="50" t="str">
        <f>IF(OR(C17="Yes"),SUM(H18-F18),"")</f>
        <v/>
      </c>
    </row>
    <row r="19" spans="1:11" ht="63" hidden="1" customHeight="1" x14ac:dyDescent="0.25">
      <c r="A19" s="253"/>
      <c r="B19" s="95" t="str">
        <f>Questions!B9</f>
        <v>Do you purchase water for resale?</v>
      </c>
      <c r="C19" s="33"/>
      <c r="D19" s="72"/>
      <c r="E19" s="10" t="str">
        <f>IF(OR(C19="Yes"),Questions!B10,"")</f>
        <v/>
      </c>
      <c r="F19" s="89" t="str">
        <f>IF(OR(C19="Yes"),'2019 Data'!D15,"")</f>
        <v/>
      </c>
      <c r="G19" s="10" t="str">
        <f>IF(OR(C19="Yes"),Questions!B11,"")</f>
        <v/>
      </c>
      <c r="H19" s="87"/>
      <c r="I19" s="34" t="str">
        <f>IF(OR(C19="Yes"),Questions!B12,"")</f>
        <v/>
      </c>
      <c r="J19" s="47" t="str">
        <f t="shared" ref="J19:J22" si="1">IF(OR(C19="Yes"),SUM(H19-F19),"")</f>
        <v/>
      </c>
    </row>
    <row r="20" spans="1:11" ht="63" hidden="1" customHeight="1" x14ac:dyDescent="0.25">
      <c r="A20" s="253"/>
      <c r="B20" s="97" t="s">
        <v>193</v>
      </c>
      <c r="C20" s="33"/>
      <c r="D20" s="72"/>
      <c r="E20" s="69" t="str">
        <f>IF(OR(C20="Yes"),Questions!B14,"")</f>
        <v/>
      </c>
      <c r="F20" s="91" t="str">
        <f>IF(OR(C20="Yes"),'2019 Data'!D16,"")</f>
        <v/>
      </c>
      <c r="G20" s="69" t="str">
        <f>IF(OR(C20="Yes"),Questions!B15,"")</f>
        <v/>
      </c>
      <c r="H20" s="87"/>
      <c r="I20" s="36" t="str">
        <f>IF(OR(C20="Yes"),Questions!B16,"")</f>
        <v/>
      </c>
      <c r="J20" s="50" t="str">
        <f t="shared" si="1"/>
        <v/>
      </c>
    </row>
    <row r="21" spans="1:11" ht="63" hidden="1" customHeight="1" x14ac:dyDescent="0.25">
      <c r="A21" s="253"/>
      <c r="B21" s="95" t="str">
        <f>Questions!B17</f>
        <v>Have your chemical usages changed?</v>
      </c>
      <c r="C21" s="33"/>
      <c r="D21" s="72"/>
      <c r="E21" s="6" t="str">
        <f>IF(OR(C21="Yes"),Questions!B18,"")</f>
        <v/>
      </c>
      <c r="F21" s="89" t="str">
        <f>IF(OR(C21="Yes"),'2019 Data'!D17,"")</f>
        <v/>
      </c>
      <c r="G21" s="6" t="str">
        <f>IF(OR(C21="Yes"),Questions!B19,"")</f>
        <v/>
      </c>
      <c r="H21" s="87"/>
      <c r="I21" s="34" t="str">
        <f>IF(OR(C21="Yes"),Questions!B20,"")</f>
        <v/>
      </c>
      <c r="J21" s="47" t="str">
        <f t="shared" si="1"/>
        <v/>
      </c>
    </row>
    <row r="22" spans="1:11" ht="63" hidden="1" customHeight="1" x14ac:dyDescent="0.25">
      <c r="A22" s="253"/>
      <c r="B22" s="97" t="str">
        <f>Questions!B21</f>
        <v>Have your disposal costs changed?</v>
      </c>
      <c r="C22" s="33"/>
      <c r="D22" s="72"/>
      <c r="E22" s="9" t="str">
        <f>IF(OR(C22="Yes"),Questions!B22,"")</f>
        <v/>
      </c>
      <c r="F22" s="91" t="str">
        <f>IF(OR(C22="Yes"),'2019 Data'!D18,"")</f>
        <v/>
      </c>
      <c r="G22" s="9" t="str">
        <f>IF(OR(C22="Yes"),Questions!B23,"")</f>
        <v/>
      </c>
      <c r="H22" s="87"/>
      <c r="I22" s="36" t="str">
        <f>IF(OR(C22="Yes"),Questions!B24,"")</f>
        <v/>
      </c>
      <c r="J22" s="50" t="str">
        <f t="shared" si="1"/>
        <v/>
      </c>
    </row>
    <row r="23" spans="1:11" ht="63" hidden="1" customHeight="1" x14ac:dyDescent="0.25">
      <c r="A23" s="253"/>
      <c r="B23" s="60" t="str">
        <f>Questions!B25</f>
        <v>Have your testing expenses changed?</v>
      </c>
      <c r="C23" s="33"/>
      <c r="D23" s="72"/>
      <c r="E23" s="6" t="str">
        <f>IF(OR(C23="Yes"),Questions!B26,"")</f>
        <v/>
      </c>
      <c r="F23" s="89" t="str">
        <f>IF(OR(C23="Yes"),'2019 Data'!D19,"")</f>
        <v/>
      </c>
      <c r="G23" s="6" t="str">
        <f>IF(OR(C23="Yes"),Questions!B27,"")</f>
        <v/>
      </c>
      <c r="H23" s="87"/>
      <c r="I23" s="34" t="str">
        <f>IF(OR(C23="Yes"),Questions!B28,"")</f>
        <v/>
      </c>
      <c r="J23" s="47" t="str">
        <f t="shared" ref="J23:J30" si="2">IF(OR(C23="Yes"),SUM(H23-F23),"")</f>
        <v/>
      </c>
    </row>
    <row r="24" spans="1:11" ht="63" hidden="1" customHeight="1" x14ac:dyDescent="0.25">
      <c r="A24" s="253"/>
      <c r="B24" s="64" t="str">
        <f>Questions!B29</f>
        <v>Has there been a change in the system's energy bill?</v>
      </c>
      <c r="C24" s="33"/>
      <c r="D24" s="72"/>
      <c r="E24" s="9" t="str">
        <f>IF(OR(C24="Yes"),Questions!B30,"")</f>
        <v/>
      </c>
      <c r="F24" s="91" t="str">
        <f>IF(OR(C24="Yes"),'2019 Data'!D20,"")</f>
        <v/>
      </c>
      <c r="G24" s="9" t="str">
        <f>IF(OR(C24="Yes"),Questions!B31,"")</f>
        <v/>
      </c>
      <c r="H24" s="87"/>
      <c r="I24" s="36" t="str">
        <f>IF(OR(C24="Yes"),Questions!B32,"")</f>
        <v/>
      </c>
      <c r="J24" s="50" t="str">
        <f t="shared" si="2"/>
        <v/>
      </c>
    </row>
    <row r="25" spans="1:11" ht="63" hidden="1" customHeight="1" x14ac:dyDescent="0.25">
      <c r="A25" s="253"/>
      <c r="B25" s="60" t="str">
        <f>Questions!B33</f>
        <v>Has there been a change in the system's other utility services?</v>
      </c>
      <c r="C25" s="33"/>
      <c r="D25" s="72"/>
      <c r="E25" s="7" t="str">
        <f>IF(OR(C25="Yes"),Questions!B34,"")</f>
        <v/>
      </c>
      <c r="F25" s="90" t="str">
        <f>IF(OR(C25="Yes"),'2019 Data'!D21,"")</f>
        <v/>
      </c>
      <c r="G25" s="6" t="str">
        <f>IF(OR(C25="Yes"),Questions!B35,"")</f>
        <v/>
      </c>
      <c r="H25" s="87"/>
      <c r="I25" s="34" t="str">
        <f>IF(OR(C25="Yes"),Questions!B36,"")</f>
        <v/>
      </c>
      <c r="J25" s="47" t="str">
        <f t="shared" si="2"/>
        <v/>
      </c>
    </row>
    <row r="26" spans="1:11" ht="63" hidden="1" customHeight="1" x14ac:dyDescent="0.25">
      <c r="A26" s="253"/>
      <c r="B26" s="64" t="str">
        <f>Questions!B37</f>
        <v>Has there been a change in use of supplies (supply chains)?</v>
      </c>
      <c r="C26" s="33"/>
      <c r="D26" s="72"/>
      <c r="E26" s="9" t="str">
        <f>IF(OR(C26="Yes"),Questions!B38,"")</f>
        <v/>
      </c>
      <c r="F26" s="91" t="str">
        <f>IF(OR(C26="Yes"),'2019 Data'!D22,"")</f>
        <v/>
      </c>
      <c r="G26" s="9" t="str">
        <f>IF(OR(C26="Yes"),Questions!B39,"")</f>
        <v/>
      </c>
      <c r="H26" s="87"/>
      <c r="I26" s="36" t="str">
        <f>IF(OR(C26="Yes"),Questions!B40,"")</f>
        <v/>
      </c>
      <c r="J26" s="50" t="str">
        <f t="shared" si="2"/>
        <v/>
      </c>
    </row>
    <row r="27" spans="1:11" ht="63" hidden="1" customHeight="1" x14ac:dyDescent="0.25">
      <c r="A27" s="253"/>
      <c r="B27" s="60" t="str">
        <f>Questions!B41</f>
        <v>Has there been a change in supplying uniforms/attire?</v>
      </c>
      <c r="C27" s="33"/>
      <c r="D27" s="72"/>
      <c r="E27" s="6" t="str">
        <f>IF(OR(C27="Yes"),Questions!B42,"")</f>
        <v/>
      </c>
      <c r="F27" s="89" t="str">
        <f>IF(OR(C27="Yes"),'2019 Data'!D23,"")</f>
        <v/>
      </c>
      <c r="G27" s="6" t="str">
        <f>IF(OR(C27="Yes"),Questions!B43,"")</f>
        <v/>
      </c>
      <c r="H27" s="87"/>
      <c r="I27" s="34" t="str">
        <f>IF(OR(C27="Yes"),Questions!B44,"")</f>
        <v/>
      </c>
      <c r="J27" s="47" t="str">
        <f t="shared" si="2"/>
        <v/>
      </c>
    </row>
    <row r="28" spans="1:11" ht="63" hidden="1" customHeight="1" x14ac:dyDescent="0.25">
      <c r="A28" s="253"/>
      <c r="B28" s="64" t="str">
        <f>Questions!B45</f>
        <v>Has there been a change in supplying Personal Protection Equipment (PPE) or other materials, such as cloth masks?</v>
      </c>
      <c r="C28" s="33"/>
      <c r="D28" s="72"/>
      <c r="E28" s="9" t="str">
        <f>IF(OR(C28="Yes"),Questions!B46,"")</f>
        <v/>
      </c>
      <c r="F28" s="91" t="str">
        <f>IF(OR(C28="Yes"),'2019 Data'!D24,"")</f>
        <v/>
      </c>
      <c r="G28" s="9" t="str">
        <f>IF(OR(C28="Yes"),Questions!B47,"")</f>
        <v/>
      </c>
      <c r="H28" s="87"/>
      <c r="I28" s="36" t="str">
        <f>IF(OR(C28="Yes"),Questions!B48,"")</f>
        <v/>
      </c>
      <c r="J28" s="50" t="str">
        <f t="shared" si="2"/>
        <v/>
      </c>
    </row>
    <row r="29" spans="1:11" ht="63" hidden="1" customHeight="1" x14ac:dyDescent="0.25">
      <c r="A29" s="253"/>
      <c r="B29" s="60" t="str">
        <f>Questions!B49</f>
        <v>Do you expect a change in the system's interest expenses?</v>
      </c>
      <c r="C29" s="33"/>
      <c r="D29" s="72"/>
      <c r="E29" s="2" t="str">
        <f>IF(OR(C29="Yes"),Questions!B50,"")</f>
        <v/>
      </c>
      <c r="F29" s="89" t="str">
        <f>IF(OR(C29="Yes"),'2019 Data'!D25,"")</f>
        <v/>
      </c>
      <c r="G29" s="2" t="str">
        <f>IF(OR(C29="Yes"),Questions!B51,"")</f>
        <v/>
      </c>
      <c r="H29" s="87"/>
      <c r="I29" s="34" t="str">
        <f>IF(OR(C29="Yes"),Questions!B52,"")</f>
        <v/>
      </c>
      <c r="J29" s="47" t="str">
        <f t="shared" si="2"/>
        <v/>
      </c>
    </row>
    <row r="30" spans="1:11" ht="63" hidden="1" customHeight="1" x14ac:dyDescent="0.25">
      <c r="A30" s="253"/>
      <c r="B30" s="247" t="str">
        <f>Questions!B53</f>
        <v>Have you incurred new expenses as a result of COVID-19?</v>
      </c>
      <c r="C30" s="239"/>
      <c r="D30" s="75"/>
      <c r="E30" s="255" t="str">
        <f>IF(OR(C30="Yes"),Questions!B54,"")</f>
        <v/>
      </c>
      <c r="F30" s="255"/>
      <c r="G30" s="256"/>
      <c r="H30" s="87"/>
      <c r="I30" s="36"/>
      <c r="J30" s="50" t="str">
        <f t="shared" si="2"/>
        <v/>
      </c>
      <c r="K30" s="44"/>
    </row>
    <row r="31" spans="1:11" ht="63" hidden="1" customHeight="1" x14ac:dyDescent="0.25">
      <c r="A31" s="253"/>
      <c r="B31" s="248"/>
      <c r="C31" s="240"/>
      <c r="D31" s="74"/>
      <c r="E31" s="255" t="str">
        <f>IF(OR(C30="Yes"),Questions!B57,"")</f>
        <v/>
      </c>
      <c r="F31" s="255"/>
      <c r="G31" s="256"/>
      <c r="H31" s="87"/>
      <c r="I31" s="36" t="str">
        <f>IF(OR(C31="Yes"),Questions!B51,"")</f>
        <v/>
      </c>
      <c r="J31" s="50" t="str">
        <f>IF(OR(C30="Yes"),SUM(H30-F30),"")</f>
        <v/>
      </c>
      <c r="K31" s="44"/>
    </row>
    <row r="32" spans="1:11" ht="63" hidden="1" customHeight="1" x14ac:dyDescent="0.25">
      <c r="A32" s="253"/>
      <c r="B32" s="62" t="str">
        <f>Questions!B58</f>
        <v>Do you have additional expenses that have not been identified?</v>
      </c>
      <c r="C32" s="33"/>
      <c r="D32" s="72"/>
      <c r="E32" s="10" t="str">
        <f>IF(OR(C32="Yes"),Questions!B59,"")</f>
        <v/>
      </c>
      <c r="F32" s="89" t="str">
        <f>IF(OR(C32="Yes"),'2019 Data'!D26,"")</f>
        <v/>
      </c>
      <c r="G32" s="10" t="str">
        <f>IF(OR(C32="Yes"),Questions!B60,"")</f>
        <v/>
      </c>
      <c r="H32" s="87"/>
      <c r="I32" s="34" t="str">
        <f>IF(OR(C32="Yes"),Questions!B61,"")</f>
        <v/>
      </c>
      <c r="J32" s="47" t="str">
        <f>IF(OR(C32="Yes"),SUM(H32-F32),"")</f>
        <v/>
      </c>
    </row>
    <row r="33" spans="1:11" ht="63" hidden="1" customHeight="1" x14ac:dyDescent="0.25">
      <c r="A33" s="254"/>
      <c r="B33" s="63"/>
      <c r="C33" s="9"/>
      <c r="D33" s="80"/>
      <c r="E33" s="12" t="s">
        <v>2</v>
      </c>
      <c r="F33" s="51">
        <f>SUM(F17:F32)</f>
        <v>0</v>
      </c>
      <c r="G33" s="12" t="s">
        <v>78</v>
      </c>
      <c r="H33" s="51">
        <f>SUM(H17:H32)</f>
        <v>0</v>
      </c>
      <c r="I33" s="26" t="s">
        <v>103</v>
      </c>
      <c r="J33" s="51">
        <f>SUM(J17:J32)</f>
        <v>0</v>
      </c>
    </row>
    <row r="34" spans="1:11" ht="63" customHeight="1" x14ac:dyDescent="0.25">
      <c r="A34" s="43" t="s">
        <v>18</v>
      </c>
      <c r="B34" s="59"/>
      <c r="C34" s="2"/>
      <c r="D34" s="82"/>
      <c r="E34" s="13" t="s">
        <v>3</v>
      </c>
      <c r="F34" s="49">
        <f>F14-F33</f>
        <v>0</v>
      </c>
      <c r="G34" s="14" t="s">
        <v>77</v>
      </c>
      <c r="H34" s="49">
        <f>H14-H33</f>
        <v>0</v>
      </c>
      <c r="I34" s="27" t="s">
        <v>4</v>
      </c>
      <c r="J34" s="49">
        <f>J14-J33</f>
        <v>0</v>
      </c>
    </row>
    <row r="35" spans="1:11" ht="75.75" customHeight="1" x14ac:dyDescent="0.25">
      <c r="A35" s="233" t="s">
        <v>13</v>
      </c>
      <c r="B35" s="81" t="str">
        <f>Questions!C2</f>
        <v>Has there been, or do you expect, a change in Accounts receivable?</v>
      </c>
      <c r="C35" s="33"/>
      <c r="D35" s="72"/>
      <c r="E35" s="113" t="str">
        <f>IF(OR(C35="Yes"),Questions!C13,"")</f>
        <v/>
      </c>
      <c r="F35" s="112" t="str">
        <f>IF(OR(C35="Yes"),'2019 Data'!D28,"")</f>
        <v/>
      </c>
      <c r="G35" s="111" t="str">
        <f>IF(OR(C35="Yes"),Questions!C14,"")</f>
        <v/>
      </c>
      <c r="H35" s="92"/>
      <c r="I35" s="38" t="str">
        <f>IF(OR(C35="Yes"),Questions!C28,"")</f>
        <v/>
      </c>
      <c r="J35" s="52" t="str">
        <f>IF(OR(C35="Yes"),SUM(F35-H35),"")</f>
        <v/>
      </c>
      <c r="K35" s="17"/>
    </row>
    <row r="36" spans="1:11" ht="75.75" customHeight="1" x14ac:dyDescent="0.25">
      <c r="A36" s="234"/>
      <c r="B36" s="96" t="str">
        <f>Questions!C3</f>
        <v>Has there been, or do you expect, a change in Accounts payable?</v>
      </c>
      <c r="C36" s="33"/>
      <c r="D36" s="72"/>
      <c r="E36" s="83" t="str">
        <f>IF(OR(C36="Yes"),Questions!C13,"")</f>
        <v/>
      </c>
      <c r="F36" s="93" t="str">
        <f>IF(OR(C36="Yes"),'2019 Data'!D29,"")</f>
        <v/>
      </c>
      <c r="G36" s="31" t="str">
        <f>IF(OR(C36="Yes"),Questions!C14,"")</f>
        <v/>
      </c>
      <c r="H36" s="92"/>
      <c r="I36" s="34" t="str">
        <f>IF(OR(C36="Yes"),Questions!C28,"")</f>
        <v/>
      </c>
      <c r="J36" s="47" t="str">
        <f>IF(OR(C36="Yes"),SUM(H36-F36),"")</f>
        <v/>
      </c>
    </row>
    <row r="37" spans="1:11" ht="75.75" customHeight="1" x14ac:dyDescent="0.25">
      <c r="A37" s="234"/>
      <c r="B37" s="81" t="str">
        <f>Questions!C4</f>
        <v>Will you delay pension fund contributions?</v>
      </c>
      <c r="C37" s="33"/>
      <c r="D37" s="72"/>
      <c r="E37" s="109" t="str">
        <f>IF(OR(C37="Yes"),Questions!C13,"")</f>
        <v/>
      </c>
      <c r="F37" s="110" t="str">
        <f>IF(OR(C37="Yes"),'2019 Data'!D30,"")</f>
        <v/>
      </c>
      <c r="G37" s="111" t="str">
        <f>IF(OR(C37="Yes"),Questions!C14,"")</f>
        <v/>
      </c>
      <c r="H37" s="92"/>
      <c r="I37" s="38" t="str">
        <f>IF(OR(C37="Yes"),Questions!C28,"")</f>
        <v/>
      </c>
      <c r="J37" s="52" t="str">
        <f>IF(OR(C37="Yes"),SUM(F37-H37),"")</f>
        <v/>
      </c>
      <c r="K37" s="44"/>
    </row>
    <row r="38" spans="1:11" ht="75.75" customHeight="1" x14ac:dyDescent="0.25">
      <c r="A38" s="234"/>
      <c r="B38" s="237" t="str">
        <f>Questions!C5</f>
        <v>Are there inter-agency funds transfers that have occurred, or that will occur?</v>
      </c>
      <c r="C38" s="239"/>
      <c r="D38" s="75"/>
      <c r="E38" s="83" t="str">
        <f>IF(OR(C38="Yes"),Questions!C15,"")</f>
        <v/>
      </c>
      <c r="F38" s="93" t="str">
        <f>IF(OR(C38="Yes"),'2019 Data'!D31,"")</f>
        <v/>
      </c>
      <c r="G38" s="31" t="str">
        <f>IF(OR(C38="Yes"),Questions!C16,"")</f>
        <v/>
      </c>
      <c r="H38" s="92"/>
      <c r="I38" s="34" t="str">
        <f>IF(OR(C38="Yes"),Questions!C28,"")</f>
        <v/>
      </c>
      <c r="J38" s="47" t="str">
        <f>IF(OR(C38="Yes"),SUM(F38-H38),"")</f>
        <v/>
      </c>
      <c r="K38" s="44"/>
    </row>
    <row r="39" spans="1:11" ht="75.75" customHeight="1" x14ac:dyDescent="0.25">
      <c r="A39" s="234"/>
      <c r="B39" s="238"/>
      <c r="C39" s="240"/>
      <c r="D39" s="74"/>
      <c r="E39" s="83" t="str">
        <f>IF(OR(C38="Yes"),Questions!C17,"")</f>
        <v/>
      </c>
      <c r="F39" s="93" t="str">
        <f>IF(OR(C38="Yes"),'2019 Data'!D32,"")</f>
        <v/>
      </c>
      <c r="G39" s="31" t="str">
        <f>IF(OR(C38="Yes"),Questions!C18,"")</f>
        <v/>
      </c>
      <c r="H39" s="92"/>
      <c r="I39" s="34" t="str">
        <f>IF(OR(C38="Yes"),Questions!C28,"")</f>
        <v/>
      </c>
      <c r="J39" s="47" t="str">
        <f>IF(OR(C38="Yes"),SUM(H39-F39),"")</f>
        <v/>
      </c>
      <c r="K39" s="44"/>
    </row>
    <row r="40" spans="1:11" ht="75.75" customHeight="1" x14ac:dyDescent="0.25">
      <c r="A40" s="234"/>
      <c r="B40" s="106" t="str">
        <f>Questions!C6</f>
        <v>Has there been, or do you expect, a change in the system's rate structure such as a delay in implementing a rate increase or temporary rate reductions?</v>
      </c>
      <c r="C40" s="33"/>
      <c r="D40" s="72"/>
      <c r="E40" s="58" t="str">
        <f>IF(OR(C40="Yes"),Questions!C19,"")</f>
        <v/>
      </c>
      <c r="F40" s="94" t="str">
        <f>IF(OR(C40="Yes"),'2019 Data'!D33,"")</f>
        <v/>
      </c>
      <c r="G40" s="37" t="str">
        <f>IF(OR(C40="Yes"),Questions!C20,"")</f>
        <v/>
      </c>
      <c r="H40" s="92"/>
      <c r="I40" s="38" t="str">
        <f>IF(OR(C40="Yes"),Questions!C28,"")</f>
        <v/>
      </c>
      <c r="J40" s="52" t="str">
        <f>IF(OR(C40="Yes"),SUM(H40-F40),"")</f>
        <v/>
      </c>
    </row>
    <row r="41" spans="1:11" ht="75.75" customHeight="1" x14ac:dyDescent="0.25">
      <c r="A41" s="234"/>
      <c r="B41" s="105" t="str">
        <f>Questions!C7</f>
        <v>Do you have a rate stabilization fund?</v>
      </c>
      <c r="C41" s="33"/>
      <c r="D41" s="72"/>
      <c r="E41" s="83" t="str">
        <f>IF(OR(C41="Yes"),Questions!C21,"")</f>
        <v/>
      </c>
      <c r="F41" s="93" t="str">
        <f>IF(OR(C41="Yes"),'2019 Data'!D34,"")</f>
        <v/>
      </c>
      <c r="G41" s="31" t="str">
        <f>IF(OR(C41="Yes"),Questions!C22,"")</f>
        <v/>
      </c>
      <c r="H41" s="92"/>
      <c r="I41" s="34" t="str">
        <f>IF(OR(C41="Yes"),Questions!C28,"")</f>
        <v/>
      </c>
      <c r="J41" s="47" t="str">
        <f>IF(OR(C41="Yes"),SUM(H41-F41),"")</f>
        <v/>
      </c>
    </row>
    <row r="42" spans="1:11" ht="75.75" customHeight="1" x14ac:dyDescent="0.25">
      <c r="A42" s="234"/>
      <c r="B42" s="106" t="str">
        <f>Questions!C8</f>
        <v>Has there been, or do you expect, a change in budgeted capital expenditures?</v>
      </c>
      <c r="C42" s="33"/>
      <c r="D42" s="72"/>
      <c r="E42" s="109" t="str">
        <f>IF(OR(C42="Yes"),Questions!C23,"")</f>
        <v/>
      </c>
      <c r="F42" s="110" t="str">
        <f>IF(OR(C42="Yes"),'2019 Data'!D35,"")</f>
        <v/>
      </c>
      <c r="G42" s="37" t="str">
        <f>IF(OR(C42="Yes"),Questions!C24,"")</f>
        <v/>
      </c>
      <c r="H42" s="92"/>
      <c r="I42" s="38" t="str">
        <f>IF(OR(C42="Yes"),Questions!C28,"")</f>
        <v/>
      </c>
      <c r="J42" s="52" t="str">
        <f>IF(OR(C42="Yes"),SUM(F42-H42),"")</f>
        <v/>
      </c>
      <c r="K42" s="44"/>
    </row>
    <row r="43" spans="1:11" ht="75.75" customHeight="1" x14ac:dyDescent="0.25">
      <c r="A43" s="234"/>
      <c r="B43" s="105" t="str">
        <f>Questions!C9</f>
        <v>Are there, or do you expect, a change in expenditures due to delayed construction projects?</v>
      </c>
      <c r="C43" s="33"/>
      <c r="D43" s="72"/>
      <c r="E43" s="231" t="str">
        <f>IF(OR(C43="Yes"),Questions!C25,"")</f>
        <v/>
      </c>
      <c r="F43" s="231"/>
      <c r="G43" s="232"/>
      <c r="H43" s="92"/>
      <c r="I43" s="34" t="str">
        <f>IF(OR(C43="Yes"),Questions!C28,"")</f>
        <v/>
      </c>
      <c r="J43" s="47" t="str">
        <f>IF(OR(C43="Yes"),H43,"")</f>
        <v/>
      </c>
      <c r="K43" s="44"/>
    </row>
    <row r="44" spans="1:11" ht="75.75" customHeight="1" x14ac:dyDescent="0.25">
      <c r="A44" s="234"/>
      <c r="B44" s="106" t="str">
        <f>Questions!C10</f>
        <v>Will you attempt to restructure existing debt?</v>
      </c>
      <c r="C44" s="33"/>
      <c r="D44" s="72"/>
      <c r="E44" s="229" t="str">
        <f>IF(OR(C44="Yes"),Questions!C25,"")</f>
        <v/>
      </c>
      <c r="F44" s="229"/>
      <c r="G44" s="230"/>
      <c r="H44" s="92"/>
      <c r="I44" s="38" t="str">
        <f>IF(OR(C44="Yes"),Questions!C28,"")</f>
        <v/>
      </c>
      <c r="J44" s="52" t="str">
        <f>IF(OR(C44="Yes"),H44,"")</f>
        <v/>
      </c>
      <c r="K44" s="44"/>
    </row>
    <row r="45" spans="1:11" ht="75.75" customHeight="1" x14ac:dyDescent="0.25">
      <c r="A45" s="234"/>
      <c r="B45" s="105" t="str">
        <f>Questions!C11</f>
        <v>Will you incur new debt?</v>
      </c>
      <c r="C45" s="33"/>
      <c r="D45" s="72"/>
      <c r="E45" s="231" t="str">
        <f>IF(OR(C45="Yes"),Questions!C25,"")</f>
        <v/>
      </c>
      <c r="F45" s="231"/>
      <c r="G45" s="232"/>
      <c r="H45" s="92"/>
      <c r="I45" s="114" t="str">
        <f>IF(OR(C45="Yes"),Questions!C28,"")</f>
        <v/>
      </c>
      <c r="J45" s="53" t="str">
        <f>IF(OR(C45="Yes"),H45,"")</f>
        <v/>
      </c>
      <c r="K45" s="44"/>
    </row>
    <row r="46" spans="1:11" ht="75.75" customHeight="1" x14ac:dyDescent="0.25">
      <c r="A46" s="235"/>
      <c r="B46" s="108" t="str">
        <f>Questions!C12</f>
        <v>Do you have available cash on hand?</v>
      </c>
      <c r="C46" s="66"/>
      <c r="D46" s="72"/>
      <c r="E46" s="229" t="str">
        <f>IF(OR(C46="Yes"),Questions!C26,"")</f>
        <v/>
      </c>
      <c r="F46" s="229"/>
      <c r="G46" s="230"/>
      <c r="H46" s="32"/>
      <c r="I46" s="38" t="str">
        <f>IF(OR(C46="Yes"),Questions!C28,"")</f>
        <v/>
      </c>
      <c r="J46" s="52" t="str">
        <f>IF(OR(C46="Yes"),H46,"")</f>
        <v/>
      </c>
      <c r="K46" s="44"/>
    </row>
    <row r="47" spans="1:11" ht="75.75" customHeight="1" x14ac:dyDescent="0.25">
      <c r="A47" s="235"/>
      <c r="B47" s="59" t="s">
        <v>254</v>
      </c>
      <c r="C47" s="33"/>
      <c r="D47" s="72"/>
      <c r="E47" s="231" t="str">
        <f>IF(OR(C47="Yes"),Questions!C27,"")</f>
        <v/>
      </c>
      <c r="F47" s="231"/>
      <c r="G47" s="232"/>
      <c r="H47" s="107"/>
      <c r="I47" s="34" t="str">
        <f>IF(OR(C47="Yes"),Questions!C28,"")</f>
        <v/>
      </c>
      <c r="J47" s="47" t="str">
        <f>IF(OR(C47="Yes"),H47,"")</f>
        <v/>
      </c>
      <c r="K47" s="44"/>
    </row>
    <row r="48" spans="1:11" ht="75.75" customHeight="1" x14ac:dyDescent="0.25">
      <c r="A48" s="236"/>
      <c r="B48" s="61"/>
      <c r="C48" s="85"/>
      <c r="D48" s="58"/>
      <c r="E48" s="84" t="s">
        <v>93</v>
      </c>
      <c r="F48" s="65">
        <f>SUM(F35:F47)</f>
        <v>0</v>
      </c>
      <c r="G48" s="45" t="s">
        <v>98</v>
      </c>
      <c r="H48" s="65">
        <f>SUM(H35:H47)</f>
        <v>0</v>
      </c>
      <c r="I48" s="56" t="s">
        <v>99</v>
      </c>
      <c r="J48" s="57">
        <f>SUM(J35:J47)</f>
        <v>0</v>
      </c>
    </row>
    <row r="49" spans="10:10" x14ac:dyDescent="0.25">
      <c r="J49" s="25"/>
    </row>
  </sheetData>
  <mergeCells count="19">
    <mergeCell ref="C17:C18"/>
    <mergeCell ref="B30:B31"/>
    <mergeCell ref="C30:C31"/>
    <mergeCell ref="A1:J1"/>
    <mergeCell ref="E30:G30"/>
    <mergeCell ref="E31:G31"/>
    <mergeCell ref="A2:A14"/>
    <mergeCell ref="B2:B3"/>
    <mergeCell ref="A15:A33"/>
    <mergeCell ref="B15:B16"/>
    <mergeCell ref="B17:B18"/>
    <mergeCell ref="A35:A48"/>
    <mergeCell ref="B38:B39"/>
    <mergeCell ref="C38:C39"/>
    <mergeCell ref="E44:G44"/>
    <mergeCell ref="E45:G45"/>
    <mergeCell ref="E46:G46"/>
    <mergeCell ref="E43:G43"/>
    <mergeCell ref="E47:G47"/>
  </mergeCells>
  <dataValidations count="1">
    <dataValidation type="list" allowBlank="1" showInputMessage="1" showErrorMessage="1" sqref="C4:C13 C17:C32 C35:C38 C40:C47 F9" xr:uid="{178511CB-07DD-43EB-BEC7-16EB3798AC77}">
      <formula1>"Yes,No"</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1745" r:id="rId4" name="CommandButton1">
          <controlPr defaultSize="0" autoLine="0" r:id="rId5">
            <anchor moveWithCells="1">
              <from>
                <xdr:col>2</xdr:col>
                <xdr:colOff>200025</xdr:colOff>
                <xdr:row>1</xdr:row>
                <xdr:rowOff>95250</xdr:rowOff>
              </from>
              <to>
                <xdr:col>2</xdr:col>
                <xdr:colOff>828675</xdr:colOff>
                <xdr:row>1</xdr:row>
                <xdr:rowOff>666750</xdr:rowOff>
              </to>
            </anchor>
          </controlPr>
        </control>
      </mc:Choice>
      <mc:Fallback>
        <control shapeId="31745" r:id="rId4" name="CommandButton1"/>
      </mc:Fallback>
    </mc:AlternateContent>
    <mc:AlternateContent xmlns:mc="http://schemas.openxmlformats.org/markup-compatibility/2006">
      <mc:Choice Requires="x14">
        <control shapeId="31746" r:id="rId6" name="CommandButton2">
          <controlPr defaultSize="0" autoLine="0" r:id="rId7">
            <anchor moveWithCells="1">
              <from>
                <xdr:col>2</xdr:col>
                <xdr:colOff>200025</xdr:colOff>
                <xdr:row>2</xdr:row>
                <xdr:rowOff>85725</xdr:rowOff>
              </from>
              <to>
                <xdr:col>2</xdr:col>
                <xdr:colOff>809625</xdr:colOff>
                <xdr:row>2</xdr:row>
                <xdr:rowOff>647700</xdr:rowOff>
              </to>
            </anchor>
          </controlPr>
        </control>
      </mc:Choice>
      <mc:Fallback>
        <control shapeId="31746" r:id="rId6" name="CommandButton2"/>
      </mc:Fallback>
    </mc:AlternateContent>
    <mc:AlternateContent xmlns:mc="http://schemas.openxmlformats.org/markup-compatibility/2006">
      <mc:Choice Requires="x14">
        <control shapeId="31747" r:id="rId8" name="CommandButton3">
          <controlPr defaultSize="0" autoLine="0" r:id="rId9">
            <anchor moveWithCells="1">
              <from>
                <xdr:col>2</xdr:col>
                <xdr:colOff>180975</xdr:colOff>
                <xdr:row>14</xdr:row>
                <xdr:rowOff>133350</xdr:rowOff>
              </from>
              <to>
                <xdr:col>2</xdr:col>
                <xdr:colOff>800100</xdr:colOff>
                <xdr:row>14</xdr:row>
                <xdr:rowOff>695325</xdr:rowOff>
              </to>
            </anchor>
          </controlPr>
        </control>
      </mc:Choice>
      <mc:Fallback>
        <control shapeId="31747" r:id="rId8" name="CommandButton3"/>
      </mc:Fallback>
    </mc:AlternateContent>
    <mc:AlternateContent xmlns:mc="http://schemas.openxmlformats.org/markup-compatibility/2006">
      <mc:Choice Requires="x14">
        <control shapeId="31748" r:id="rId10" name="CommandButton4">
          <controlPr defaultSize="0" autoLine="0" r:id="rId11">
            <anchor moveWithCells="1">
              <from>
                <xdr:col>2</xdr:col>
                <xdr:colOff>190500</xdr:colOff>
                <xdr:row>15</xdr:row>
                <xdr:rowOff>114300</xdr:rowOff>
              </from>
              <to>
                <xdr:col>2</xdr:col>
                <xdr:colOff>809625</xdr:colOff>
                <xdr:row>15</xdr:row>
                <xdr:rowOff>666750</xdr:rowOff>
              </to>
            </anchor>
          </controlPr>
        </control>
      </mc:Choice>
      <mc:Fallback>
        <control shapeId="31748" r:id="rId10" name="CommandButton4"/>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0248A-8A31-4061-8793-E0EF8C816072}">
  <sheetPr codeName="Sheet8">
    <tabColor theme="4"/>
  </sheetPr>
  <dimension ref="A1:K49"/>
  <sheetViews>
    <sheetView zoomScaleNormal="100" workbookViewId="0">
      <pane ySplit="1" topLeftCell="A2" activePane="bottomLeft" state="frozen"/>
      <selection activeCell="K3" sqref="K3"/>
      <selection pane="bottomLeft" activeCell="A2" sqref="A2:A14"/>
    </sheetView>
  </sheetViews>
  <sheetFormatPr defaultColWidth="9.140625" defaultRowHeight="15" x14ac:dyDescent="0.25"/>
  <cols>
    <col min="1" max="1" width="10.7109375" style="15" customWidth="1"/>
    <col min="2" max="2" width="28.140625" style="16" customWidth="1"/>
    <col min="3" max="3" width="14" style="17" customWidth="1"/>
    <col min="4" max="4" width="2.7109375" style="4" customWidth="1"/>
    <col min="5" max="5" width="28.42578125" style="17" customWidth="1"/>
    <col min="6" max="6" width="17.7109375" style="18" customWidth="1"/>
    <col min="7" max="7" width="31.140625" style="17" customWidth="1"/>
    <col min="8" max="8" width="17.7109375" style="18" customWidth="1"/>
    <col min="9" max="9" width="23.140625" style="25" customWidth="1"/>
    <col min="10" max="10" width="17.7109375" style="19" customWidth="1"/>
    <col min="11" max="11" width="22.7109375" style="4" bestFit="1" customWidth="1"/>
    <col min="12" max="16384" width="9.140625" style="4"/>
  </cols>
  <sheetData>
    <row r="1" spans="1:10" s="1" customFormat="1" ht="27.75" customHeight="1" thickTop="1" x14ac:dyDescent="0.25">
      <c r="A1" s="241" t="s">
        <v>168</v>
      </c>
      <c r="B1" s="242"/>
      <c r="C1" s="242"/>
      <c r="D1" s="242"/>
      <c r="E1" s="242"/>
      <c r="F1" s="242"/>
      <c r="G1" s="242"/>
      <c r="H1" s="242"/>
      <c r="I1" s="242"/>
      <c r="J1" s="242"/>
    </row>
    <row r="2" spans="1:10" ht="63" customHeight="1" x14ac:dyDescent="0.25">
      <c r="A2" s="249" t="s">
        <v>1</v>
      </c>
      <c r="B2" s="243" t="s">
        <v>11</v>
      </c>
      <c r="C2" s="66"/>
      <c r="D2" s="75"/>
      <c r="E2" s="2"/>
      <c r="F2" s="3"/>
      <c r="G2" s="2"/>
      <c r="H2" s="3"/>
      <c r="I2" s="24"/>
      <c r="J2" s="53"/>
    </row>
    <row r="3" spans="1:10" ht="63" customHeight="1" x14ac:dyDescent="0.25">
      <c r="A3" s="250"/>
      <c r="B3" s="244"/>
      <c r="C3" s="68"/>
      <c r="D3" s="76"/>
      <c r="E3" s="73" t="s">
        <v>87</v>
      </c>
      <c r="F3" s="11"/>
      <c r="G3" s="10"/>
      <c r="H3" s="11"/>
      <c r="I3" s="54"/>
      <c r="J3" s="55"/>
    </row>
    <row r="4" spans="1:10" ht="63" hidden="1" customHeight="1" x14ac:dyDescent="0.25">
      <c r="A4" s="250"/>
      <c r="B4" s="42" t="str">
        <f>Questions!A2</f>
        <v>Have commercial/industrial revenues been impacted?</v>
      </c>
      <c r="C4" s="68"/>
      <c r="D4" s="74"/>
      <c r="E4" s="30" t="str">
        <f>IF(OR(C4="Yes"),Questions!A3,"")</f>
        <v/>
      </c>
      <c r="F4" s="88" t="str">
        <f>IF(OR(C4="Yes"),'2019 Data'!D3,"")</f>
        <v/>
      </c>
      <c r="G4" s="30" t="str">
        <f>IF(OR(C4="Yes"),Questions!A4,"")</f>
        <v/>
      </c>
      <c r="H4" s="86"/>
      <c r="I4" s="70" t="str">
        <f>IF(OR(C4="Yes"),Questions!A5,"")</f>
        <v/>
      </c>
      <c r="J4" s="71" t="str">
        <f t="shared" ref="J4:J13" si="0">IF(OR(C4="Yes"),SUM(H4-F4),"")</f>
        <v/>
      </c>
    </row>
    <row r="5" spans="1:10" ht="63" hidden="1" customHeight="1" x14ac:dyDescent="0.25">
      <c r="A5" s="250"/>
      <c r="B5" s="60" t="str">
        <f>Questions!A6</f>
        <v>Have residential revenues been impacted?</v>
      </c>
      <c r="C5" s="33"/>
      <c r="D5" s="74"/>
      <c r="E5" s="6" t="str">
        <f>IF(OR(C5="Yes"),Questions!A7,"")</f>
        <v/>
      </c>
      <c r="F5" s="89" t="str">
        <f>IF(OR(C5="Yes"),'2019 Data'!D4,"")</f>
        <v/>
      </c>
      <c r="G5" s="6" t="str">
        <f>IF(OR(C5="Yes"),Questions!A8,"")</f>
        <v/>
      </c>
      <c r="H5" s="87"/>
      <c r="I5" s="34" t="str">
        <f>IF(OR(C5="Yes"),Questions!A9,"")</f>
        <v/>
      </c>
      <c r="J5" s="47" t="str">
        <f t="shared" si="0"/>
        <v/>
      </c>
    </row>
    <row r="6" spans="1:10" ht="63" hidden="1" customHeight="1" x14ac:dyDescent="0.25">
      <c r="A6" s="250"/>
      <c r="B6" s="42" t="str">
        <f>Questions!A10</f>
        <v>Do you sell wholesale water/wastewater treatment?</v>
      </c>
      <c r="C6" s="33"/>
      <c r="D6" s="74"/>
      <c r="E6" s="5" t="str">
        <f>IF(OR(C6="Yes"),Questions!A11,"")</f>
        <v/>
      </c>
      <c r="F6" s="88" t="str">
        <f>IF(OR(C6="Yes"),'2019 Data'!D5,"")</f>
        <v/>
      </c>
      <c r="G6" s="5" t="str">
        <f>IF(OR(C6="Yes"),Questions!A12,"")</f>
        <v/>
      </c>
      <c r="H6" s="87"/>
      <c r="I6" s="35" t="str">
        <f>IF(OR(C6="Yes"),Questions!A13,"")</f>
        <v/>
      </c>
      <c r="J6" s="46" t="str">
        <f t="shared" si="0"/>
        <v/>
      </c>
    </row>
    <row r="7" spans="1:10" ht="63" hidden="1" customHeight="1" x14ac:dyDescent="0.25">
      <c r="A7" s="250"/>
      <c r="B7" s="60" t="str">
        <f>Questions!A14</f>
        <v>Do you charge connection/tap fees?</v>
      </c>
      <c r="C7" s="33"/>
      <c r="D7" s="74"/>
      <c r="E7" s="6" t="str">
        <f>IF(OR(C7="Yes"),Questions!A15,"")</f>
        <v/>
      </c>
      <c r="F7" s="89" t="str">
        <f>IF(OR(C7="Yes"),'2019 Data'!D6,"")</f>
        <v/>
      </c>
      <c r="G7" s="6" t="str">
        <f>IF(OR(C7="Yes"),Questions!A16,"")</f>
        <v/>
      </c>
      <c r="H7" s="87"/>
      <c r="I7" s="34" t="str">
        <f>IF(OR(C7="Yes"),Questions!A17,"")</f>
        <v/>
      </c>
      <c r="J7" s="47" t="str">
        <f t="shared" si="0"/>
        <v/>
      </c>
    </row>
    <row r="8" spans="1:10" ht="63" hidden="1" customHeight="1" x14ac:dyDescent="0.25">
      <c r="A8" s="250"/>
      <c r="B8" s="42" t="str">
        <f>Questions!A18</f>
        <v>Are you suspending late fees?</v>
      </c>
      <c r="C8" s="33"/>
      <c r="D8" s="74"/>
      <c r="E8" s="5" t="str">
        <f>IF(OR(C8="Yes"),Questions!A19,"")</f>
        <v/>
      </c>
      <c r="F8" s="88" t="str">
        <f>IF(OR(C8="Yes"),'2019 Data'!D7,"")</f>
        <v/>
      </c>
      <c r="G8" s="5" t="str">
        <f>IF(OR(C8="Yes"),Questions!A20,"")</f>
        <v/>
      </c>
      <c r="H8" s="87"/>
      <c r="I8" s="35" t="str">
        <f>IF(OR(C8="Yes"),Questions!A21,"")</f>
        <v/>
      </c>
      <c r="J8" s="46" t="str">
        <f t="shared" si="0"/>
        <v/>
      </c>
    </row>
    <row r="9" spans="1:10" ht="63" hidden="1" customHeight="1" x14ac:dyDescent="0.25">
      <c r="A9" s="250"/>
      <c r="B9" s="95" t="str">
        <f>Questions!A22</f>
        <v>Are you suspending shutoffs?</v>
      </c>
      <c r="C9" s="33"/>
      <c r="D9" s="74"/>
      <c r="E9" s="6" t="str">
        <f>IF(OR(C9="Yes"),Questions!A23,"")</f>
        <v/>
      </c>
      <c r="F9" s="115"/>
      <c r="G9" s="6" t="str">
        <f>IF(OR(F9="Yes"),Questions!A24,"")</f>
        <v/>
      </c>
      <c r="H9" s="87"/>
      <c r="I9" s="34" t="str">
        <f>IF(OR(F9="Yes"),Questions!A25,"")</f>
        <v/>
      </c>
      <c r="J9" s="47" t="str">
        <f>IF(OR(F9="Yes"),-H9,"")</f>
        <v/>
      </c>
    </row>
    <row r="10" spans="1:10" ht="63" hidden="1" customHeight="1" x14ac:dyDescent="0.25">
      <c r="A10" s="250"/>
      <c r="B10" s="42" t="str">
        <f>Questions!A26</f>
        <v>Does your system receive tax revenue either directly or from a parent agency?</v>
      </c>
      <c r="C10" s="33"/>
      <c r="D10" s="74"/>
      <c r="E10" s="5" t="str">
        <f>IF(OR(C10="Yes"),Questions!A27,"")</f>
        <v/>
      </c>
      <c r="F10" s="88" t="str">
        <f>IF(OR(C10="Yes"),'2019 Data'!D8,"")</f>
        <v/>
      </c>
      <c r="G10" s="29" t="str">
        <f>IF(OR(C10="Yes"),Questions!A28,"")</f>
        <v/>
      </c>
      <c r="H10" s="87"/>
      <c r="I10" s="35" t="str">
        <f>IF(OR(C10="Yes"),Questions!A29,"")</f>
        <v/>
      </c>
      <c r="J10" s="46" t="str">
        <f t="shared" si="0"/>
        <v/>
      </c>
    </row>
    <row r="11" spans="1:10" ht="63" hidden="1" customHeight="1" x14ac:dyDescent="0.25">
      <c r="A11" s="250"/>
      <c r="B11" s="60" t="str">
        <f>Questions!A30</f>
        <v>Do you sell byproducts (e.g., biosolids, electricity, etc.)?</v>
      </c>
      <c r="C11" s="33"/>
      <c r="D11" s="74"/>
      <c r="E11" s="6" t="str">
        <f>IF(OR(C11="Yes"),Questions!A31,"")</f>
        <v/>
      </c>
      <c r="F11" s="89" t="str">
        <f>IF(OR(C11="Yes"),'2019 Data'!D9,"")</f>
        <v/>
      </c>
      <c r="G11" s="83" t="str">
        <f>IF(OR(C11="Yes"),Questions!A32,"")</f>
        <v/>
      </c>
      <c r="H11" s="87"/>
      <c r="I11" s="34" t="str">
        <f>IF(OR(C11="Yes"),Questions!A33,"")</f>
        <v/>
      </c>
      <c r="J11" s="47" t="str">
        <f t="shared" si="0"/>
        <v/>
      </c>
    </row>
    <row r="12" spans="1:10" ht="63" hidden="1" customHeight="1" x14ac:dyDescent="0.25">
      <c r="A12" s="250"/>
      <c r="B12" s="42" t="str">
        <f>Questions!A34</f>
        <v>Do you generate interest income from cash on hand?</v>
      </c>
      <c r="C12" s="33"/>
      <c r="D12" s="74"/>
      <c r="E12" s="5" t="str">
        <f>IF(OR(C12="Yes"),Questions!A35,"")</f>
        <v/>
      </c>
      <c r="F12" s="88" t="str">
        <f>IF(OR(C12="Yes"),'2019 Data'!D10,"")</f>
        <v/>
      </c>
      <c r="G12" s="30" t="str">
        <f>IF(OR(C12="Yes"),Questions!A36,"")</f>
        <v/>
      </c>
      <c r="H12" s="87"/>
      <c r="I12" s="35" t="str">
        <f>IF(OR(C12="Yes"),Questions!A37,"")</f>
        <v/>
      </c>
      <c r="J12" s="46" t="str">
        <f t="shared" si="0"/>
        <v/>
      </c>
    </row>
    <row r="13" spans="1:10" ht="63" hidden="1" customHeight="1" x14ac:dyDescent="0.25">
      <c r="A13" s="250"/>
      <c r="B13" s="62" t="str">
        <f>Questions!A38</f>
        <v>Do you have additional revenue streams that have not been identified?</v>
      </c>
      <c r="C13" s="66"/>
      <c r="D13" s="77"/>
      <c r="E13" s="7" t="str">
        <f>IF(OR(C13="Yes"),Questions!A39,"")</f>
        <v/>
      </c>
      <c r="F13" s="90" t="str">
        <f>IF(OR(C13="Yes"),'2019 Data'!D11,"")</f>
        <v/>
      </c>
      <c r="G13" s="6" t="str">
        <f>IF(OR(C13="Yes"),Questions!A40,"")</f>
        <v/>
      </c>
      <c r="H13" s="87"/>
      <c r="I13" s="34" t="str">
        <f>IF(OR(C13="Yes"),Questions!A41,"")</f>
        <v/>
      </c>
      <c r="J13" s="47" t="str">
        <f t="shared" si="0"/>
        <v/>
      </c>
    </row>
    <row r="14" spans="1:10" ht="63" hidden="1" customHeight="1" x14ac:dyDescent="0.25">
      <c r="A14" s="251"/>
      <c r="B14" s="78"/>
      <c r="C14" s="29"/>
      <c r="D14" s="79"/>
      <c r="E14" s="8" t="s">
        <v>0</v>
      </c>
      <c r="F14" s="48">
        <f>SUM(F2:F13)</f>
        <v>0</v>
      </c>
      <c r="G14" s="8" t="s">
        <v>102</v>
      </c>
      <c r="H14" s="48">
        <f>SUM(H2:H13)</f>
        <v>0</v>
      </c>
      <c r="I14" s="28" t="s">
        <v>100</v>
      </c>
      <c r="J14" s="48">
        <f>SUM(J2:J13)</f>
        <v>0</v>
      </c>
    </row>
    <row r="15" spans="1:10" ht="63" customHeight="1" x14ac:dyDescent="0.25">
      <c r="A15" s="252" t="s">
        <v>9</v>
      </c>
      <c r="B15" s="245" t="s">
        <v>298</v>
      </c>
      <c r="C15" s="66"/>
      <c r="D15" s="75"/>
      <c r="E15" s="2"/>
      <c r="F15" s="3"/>
      <c r="G15" s="2"/>
      <c r="H15" s="3"/>
      <c r="I15" s="24"/>
      <c r="J15" s="53"/>
    </row>
    <row r="16" spans="1:10" ht="63" customHeight="1" x14ac:dyDescent="0.25">
      <c r="A16" s="253"/>
      <c r="B16" s="246"/>
      <c r="C16" s="67"/>
      <c r="D16" s="77"/>
      <c r="E16" s="98" t="s">
        <v>245</v>
      </c>
      <c r="F16" s="11"/>
      <c r="G16" s="10"/>
      <c r="H16" s="11"/>
      <c r="I16" s="54"/>
      <c r="J16" s="55"/>
    </row>
    <row r="17" spans="1:11" ht="63" hidden="1" customHeight="1" x14ac:dyDescent="0.25">
      <c r="A17" s="253"/>
      <c r="B17" s="247" t="str">
        <f>Questions!B2</f>
        <v>Have your labor costs, regular and overtime, changed?</v>
      </c>
      <c r="C17" s="239"/>
      <c r="D17" s="75"/>
      <c r="E17" s="9" t="str">
        <f>IF(OR(C17="Yes"),Questions!B3,"")</f>
        <v/>
      </c>
      <c r="F17" s="91" t="str">
        <f>IF(OR(C17="Yes"),'2019 Data'!D3,"")</f>
        <v/>
      </c>
      <c r="G17" s="9" t="str">
        <f>IF(OR(C17="Yes"),Questions!B4,"")</f>
        <v/>
      </c>
      <c r="H17" s="87"/>
      <c r="I17" s="36" t="str">
        <f>IF(OR(C17="Yes"),Questions!B5,"")</f>
        <v/>
      </c>
      <c r="J17" s="50" t="str">
        <f>IF(OR(C17="Yes"),SUM(H17-F17),"")</f>
        <v/>
      </c>
    </row>
    <row r="18" spans="1:11" ht="63" hidden="1" customHeight="1" x14ac:dyDescent="0.25">
      <c r="A18" s="253"/>
      <c r="B18" s="248"/>
      <c r="C18" s="240"/>
      <c r="D18" s="77"/>
      <c r="E18" s="9" t="str">
        <f>IF(OR(C17="Yes"),Questions!B6,"")</f>
        <v/>
      </c>
      <c r="F18" s="91" t="str">
        <f>IF(OR(C17="Yes"),'2019 Data'!D14,"")</f>
        <v/>
      </c>
      <c r="G18" s="9" t="str">
        <f>IF(OR(C17="Yes"),Questions!B7,"")</f>
        <v/>
      </c>
      <c r="H18" s="87"/>
      <c r="I18" s="36" t="str">
        <f>IF(OR(C17="Yes"),Questions!B8,"")</f>
        <v/>
      </c>
      <c r="J18" s="50" t="str">
        <f>IF(OR(C17="Yes"),SUM(H18-F18),"")</f>
        <v/>
      </c>
    </row>
    <row r="19" spans="1:11" ht="63" hidden="1" customHeight="1" x14ac:dyDescent="0.25">
      <c r="A19" s="253"/>
      <c r="B19" s="95" t="str">
        <f>Questions!B9</f>
        <v>Do you purchase water for resale?</v>
      </c>
      <c r="C19" s="33"/>
      <c r="D19" s="72"/>
      <c r="E19" s="10" t="str">
        <f>IF(OR(C19="Yes"),Questions!B10,"")</f>
        <v/>
      </c>
      <c r="F19" s="89" t="str">
        <f>IF(OR(C19="Yes"),'2019 Data'!D15,"")</f>
        <v/>
      </c>
      <c r="G19" s="10" t="str">
        <f>IF(OR(C19="Yes"),Questions!B11,"")</f>
        <v/>
      </c>
      <c r="H19" s="87"/>
      <c r="I19" s="34" t="str">
        <f>IF(OR(C19="Yes"),Questions!B12,"")</f>
        <v/>
      </c>
      <c r="J19" s="47" t="str">
        <f t="shared" ref="J19:J22" si="1">IF(OR(C19="Yes"),SUM(H19-F19),"")</f>
        <v/>
      </c>
    </row>
    <row r="20" spans="1:11" ht="63" hidden="1" customHeight="1" x14ac:dyDescent="0.25">
      <c r="A20" s="253"/>
      <c r="B20" s="97" t="s">
        <v>193</v>
      </c>
      <c r="C20" s="33"/>
      <c r="D20" s="72"/>
      <c r="E20" s="69" t="str">
        <f>IF(OR(C20="Yes"),Questions!B14,"")</f>
        <v/>
      </c>
      <c r="F20" s="91" t="str">
        <f>IF(OR(C20="Yes"),'2019 Data'!D16,"")</f>
        <v/>
      </c>
      <c r="G20" s="69" t="str">
        <f>IF(OR(C20="Yes"),Questions!B15,"")</f>
        <v/>
      </c>
      <c r="H20" s="87"/>
      <c r="I20" s="36" t="str">
        <f>IF(OR(C20="Yes"),Questions!B16,"")</f>
        <v/>
      </c>
      <c r="J20" s="50" t="str">
        <f t="shared" si="1"/>
        <v/>
      </c>
    </row>
    <row r="21" spans="1:11" ht="63" hidden="1" customHeight="1" x14ac:dyDescent="0.25">
      <c r="A21" s="253"/>
      <c r="B21" s="95" t="str">
        <f>Questions!B17</f>
        <v>Have your chemical usages changed?</v>
      </c>
      <c r="C21" s="33"/>
      <c r="D21" s="72"/>
      <c r="E21" s="6" t="str">
        <f>IF(OR(C21="Yes"),Questions!B18,"")</f>
        <v/>
      </c>
      <c r="F21" s="89" t="str">
        <f>IF(OR(C21="Yes"),'2019 Data'!D17,"")</f>
        <v/>
      </c>
      <c r="G21" s="6" t="str">
        <f>IF(OR(C21="Yes"),Questions!B19,"")</f>
        <v/>
      </c>
      <c r="H21" s="87"/>
      <c r="I21" s="34" t="str">
        <f>IF(OR(C21="Yes"),Questions!B20,"")</f>
        <v/>
      </c>
      <c r="J21" s="47" t="str">
        <f t="shared" si="1"/>
        <v/>
      </c>
    </row>
    <row r="22" spans="1:11" ht="63" hidden="1" customHeight="1" x14ac:dyDescent="0.25">
      <c r="A22" s="253"/>
      <c r="B22" s="97" t="str">
        <f>Questions!B21</f>
        <v>Have your disposal costs changed?</v>
      </c>
      <c r="C22" s="33"/>
      <c r="D22" s="72"/>
      <c r="E22" s="9" t="str">
        <f>IF(OR(C22="Yes"),Questions!B22,"")</f>
        <v/>
      </c>
      <c r="F22" s="91" t="str">
        <f>IF(OR(C22="Yes"),'2019 Data'!D18,"")</f>
        <v/>
      </c>
      <c r="G22" s="9" t="str">
        <f>IF(OR(C22="Yes"),Questions!B23,"")</f>
        <v/>
      </c>
      <c r="H22" s="87"/>
      <c r="I22" s="36" t="str">
        <f>IF(OR(C22="Yes"),Questions!B24,"")</f>
        <v/>
      </c>
      <c r="J22" s="50" t="str">
        <f t="shared" si="1"/>
        <v/>
      </c>
    </row>
    <row r="23" spans="1:11" ht="63" hidden="1" customHeight="1" x14ac:dyDescent="0.25">
      <c r="A23" s="253"/>
      <c r="B23" s="60" t="str">
        <f>Questions!B25</f>
        <v>Have your testing expenses changed?</v>
      </c>
      <c r="C23" s="33"/>
      <c r="D23" s="72"/>
      <c r="E23" s="6" t="str">
        <f>IF(OR(C23="Yes"),Questions!B26,"")</f>
        <v/>
      </c>
      <c r="F23" s="89" t="str">
        <f>IF(OR(C23="Yes"),'2019 Data'!D19,"")</f>
        <v/>
      </c>
      <c r="G23" s="6" t="str">
        <f>IF(OR(C23="Yes"),Questions!B27,"")</f>
        <v/>
      </c>
      <c r="H23" s="87"/>
      <c r="I23" s="34" t="str">
        <f>IF(OR(C23="Yes"),Questions!B28,"")</f>
        <v/>
      </c>
      <c r="J23" s="47" t="str">
        <f t="shared" ref="J23:J30" si="2">IF(OR(C23="Yes"),SUM(H23-F23),"")</f>
        <v/>
      </c>
    </row>
    <row r="24" spans="1:11" ht="63" hidden="1" customHeight="1" x14ac:dyDescent="0.25">
      <c r="A24" s="253"/>
      <c r="B24" s="64" t="str">
        <f>Questions!B29</f>
        <v>Has there been a change in the system's energy bill?</v>
      </c>
      <c r="C24" s="33"/>
      <c r="D24" s="72"/>
      <c r="E24" s="9" t="str">
        <f>IF(OR(C24="Yes"),Questions!B30,"")</f>
        <v/>
      </c>
      <c r="F24" s="91" t="str">
        <f>IF(OR(C24="Yes"),'2019 Data'!D20,"")</f>
        <v/>
      </c>
      <c r="G24" s="9" t="str">
        <f>IF(OR(C24="Yes"),Questions!B31,"")</f>
        <v/>
      </c>
      <c r="H24" s="87"/>
      <c r="I24" s="36" t="str">
        <f>IF(OR(C24="Yes"),Questions!B32,"")</f>
        <v/>
      </c>
      <c r="J24" s="50" t="str">
        <f t="shared" si="2"/>
        <v/>
      </c>
    </row>
    <row r="25" spans="1:11" ht="63" hidden="1" customHeight="1" x14ac:dyDescent="0.25">
      <c r="A25" s="253"/>
      <c r="B25" s="60" t="str">
        <f>Questions!B33</f>
        <v>Has there been a change in the system's other utility services?</v>
      </c>
      <c r="C25" s="33"/>
      <c r="D25" s="72"/>
      <c r="E25" s="7" t="str">
        <f>IF(OR(C25="Yes"),Questions!B34,"")</f>
        <v/>
      </c>
      <c r="F25" s="90" t="str">
        <f>IF(OR(C25="Yes"),'2019 Data'!D21,"")</f>
        <v/>
      </c>
      <c r="G25" s="6" t="str">
        <f>IF(OR(C25="Yes"),Questions!B35,"")</f>
        <v/>
      </c>
      <c r="H25" s="87"/>
      <c r="I25" s="34" t="str">
        <f>IF(OR(C25="Yes"),Questions!B36,"")</f>
        <v/>
      </c>
      <c r="J25" s="47" t="str">
        <f t="shared" si="2"/>
        <v/>
      </c>
    </row>
    <row r="26" spans="1:11" ht="63" hidden="1" customHeight="1" x14ac:dyDescent="0.25">
      <c r="A26" s="253"/>
      <c r="B26" s="64" t="str">
        <f>Questions!B37</f>
        <v>Has there been a change in use of supplies (supply chains)?</v>
      </c>
      <c r="C26" s="33"/>
      <c r="D26" s="72"/>
      <c r="E26" s="9" t="str">
        <f>IF(OR(C26="Yes"),Questions!B38,"")</f>
        <v/>
      </c>
      <c r="F26" s="91" t="str">
        <f>IF(OR(C26="Yes"),'2019 Data'!D22,"")</f>
        <v/>
      </c>
      <c r="G26" s="9" t="str">
        <f>IF(OR(C26="Yes"),Questions!B39,"")</f>
        <v/>
      </c>
      <c r="H26" s="87"/>
      <c r="I26" s="36" t="str">
        <f>IF(OR(C26="Yes"),Questions!B40,"")</f>
        <v/>
      </c>
      <c r="J26" s="50" t="str">
        <f t="shared" si="2"/>
        <v/>
      </c>
    </row>
    <row r="27" spans="1:11" ht="63" hidden="1" customHeight="1" x14ac:dyDescent="0.25">
      <c r="A27" s="253"/>
      <c r="B27" s="60" t="str">
        <f>Questions!B41</f>
        <v>Has there been a change in supplying uniforms/attire?</v>
      </c>
      <c r="C27" s="33"/>
      <c r="D27" s="72"/>
      <c r="E27" s="6" t="str">
        <f>IF(OR(C27="Yes"),Questions!B42,"")</f>
        <v/>
      </c>
      <c r="F27" s="89" t="str">
        <f>IF(OR(C27="Yes"),'2019 Data'!D23,"")</f>
        <v/>
      </c>
      <c r="G27" s="6" t="str">
        <f>IF(OR(C27="Yes"),Questions!B43,"")</f>
        <v/>
      </c>
      <c r="H27" s="87"/>
      <c r="I27" s="34" t="str">
        <f>IF(OR(C27="Yes"),Questions!B44,"")</f>
        <v/>
      </c>
      <c r="J27" s="47" t="str">
        <f t="shared" si="2"/>
        <v/>
      </c>
    </row>
    <row r="28" spans="1:11" ht="63" hidden="1" customHeight="1" x14ac:dyDescent="0.25">
      <c r="A28" s="253"/>
      <c r="B28" s="64" t="str">
        <f>Questions!B45</f>
        <v>Has there been a change in supplying Personal Protection Equipment (PPE) or other materials, such as cloth masks?</v>
      </c>
      <c r="C28" s="33"/>
      <c r="D28" s="72"/>
      <c r="E28" s="9" t="str">
        <f>IF(OR(C28="Yes"),Questions!B46,"")</f>
        <v/>
      </c>
      <c r="F28" s="91" t="str">
        <f>IF(OR(C28="Yes"),'2019 Data'!D24,"")</f>
        <v/>
      </c>
      <c r="G28" s="9" t="str">
        <f>IF(OR(C28="Yes"),Questions!B47,"")</f>
        <v/>
      </c>
      <c r="H28" s="87"/>
      <c r="I28" s="36" t="str">
        <f>IF(OR(C28="Yes"),Questions!B48,"")</f>
        <v/>
      </c>
      <c r="J28" s="50" t="str">
        <f t="shared" si="2"/>
        <v/>
      </c>
    </row>
    <row r="29" spans="1:11" ht="63" hidden="1" customHeight="1" x14ac:dyDescent="0.25">
      <c r="A29" s="253"/>
      <c r="B29" s="60" t="str">
        <f>Questions!B49</f>
        <v>Do you expect a change in the system's interest expenses?</v>
      </c>
      <c r="C29" s="33"/>
      <c r="D29" s="72"/>
      <c r="E29" s="2" t="str">
        <f>IF(OR(C29="Yes"),Questions!B50,"")</f>
        <v/>
      </c>
      <c r="F29" s="89" t="str">
        <f>IF(OR(C29="Yes"),'2019 Data'!D25,"")</f>
        <v/>
      </c>
      <c r="G29" s="2" t="str">
        <f>IF(OR(C29="Yes"),Questions!B51,"")</f>
        <v/>
      </c>
      <c r="H29" s="87"/>
      <c r="I29" s="34" t="str">
        <f>IF(OR(C29="Yes"),Questions!B52,"")</f>
        <v/>
      </c>
      <c r="J29" s="47" t="str">
        <f t="shared" si="2"/>
        <v/>
      </c>
    </row>
    <row r="30" spans="1:11" ht="63" hidden="1" customHeight="1" x14ac:dyDescent="0.25">
      <c r="A30" s="253"/>
      <c r="B30" s="247" t="str">
        <f>Questions!B53</f>
        <v>Have you incurred new expenses as a result of COVID-19?</v>
      </c>
      <c r="C30" s="239"/>
      <c r="D30" s="75"/>
      <c r="E30" s="255" t="str">
        <f>IF(OR(C30="Yes"),Questions!B54,"")</f>
        <v/>
      </c>
      <c r="F30" s="255"/>
      <c r="G30" s="256"/>
      <c r="H30" s="87"/>
      <c r="I30" s="36"/>
      <c r="J30" s="50" t="str">
        <f t="shared" si="2"/>
        <v/>
      </c>
      <c r="K30" s="44"/>
    </row>
    <row r="31" spans="1:11" ht="63" hidden="1" customHeight="1" x14ac:dyDescent="0.25">
      <c r="A31" s="253"/>
      <c r="B31" s="248"/>
      <c r="C31" s="240"/>
      <c r="D31" s="74"/>
      <c r="E31" s="255" t="str">
        <f>IF(OR(C30="Yes"),Questions!B57,"")</f>
        <v/>
      </c>
      <c r="F31" s="255"/>
      <c r="G31" s="256"/>
      <c r="H31" s="87"/>
      <c r="I31" s="36" t="str">
        <f>IF(OR(C31="Yes"),Questions!B51,"")</f>
        <v/>
      </c>
      <c r="J31" s="50" t="str">
        <f>IF(OR(C30="Yes"),SUM(H30-F30),"")</f>
        <v/>
      </c>
      <c r="K31" s="44"/>
    </row>
    <row r="32" spans="1:11" ht="63" hidden="1" customHeight="1" x14ac:dyDescent="0.25">
      <c r="A32" s="253"/>
      <c r="B32" s="62" t="str">
        <f>Questions!B58</f>
        <v>Do you have additional expenses that have not been identified?</v>
      </c>
      <c r="C32" s="33"/>
      <c r="D32" s="72"/>
      <c r="E32" s="10" t="str">
        <f>IF(OR(C32="Yes"),Questions!B59,"")</f>
        <v/>
      </c>
      <c r="F32" s="89" t="str">
        <f>IF(OR(C32="Yes"),'2019 Data'!D26,"")</f>
        <v/>
      </c>
      <c r="G32" s="10" t="str">
        <f>IF(OR(C32="Yes"),Questions!B60,"")</f>
        <v/>
      </c>
      <c r="H32" s="87"/>
      <c r="I32" s="34" t="str">
        <f>IF(OR(C32="Yes"),Questions!B61,"")</f>
        <v/>
      </c>
      <c r="J32" s="47" t="str">
        <f>IF(OR(C32="Yes"),SUM(H32-F32),"")</f>
        <v/>
      </c>
    </row>
    <row r="33" spans="1:11" ht="63" hidden="1" customHeight="1" x14ac:dyDescent="0.25">
      <c r="A33" s="254"/>
      <c r="B33" s="63"/>
      <c r="C33" s="9"/>
      <c r="D33" s="80"/>
      <c r="E33" s="12" t="s">
        <v>2</v>
      </c>
      <c r="F33" s="51">
        <f>SUM(F17:F32)</f>
        <v>0</v>
      </c>
      <c r="G33" s="12" t="s">
        <v>78</v>
      </c>
      <c r="H33" s="51">
        <f>SUM(H17:H32)</f>
        <v>0</v>
      </c>
      <c r="I33" s="26" t="s">
        <v>103</v>
      </c>
      <c r="J33" s="51">
        <f>SUM(J17:J32)</f>
        <v>0</v>
      </c>
    </row>
    <row r="34" spans="1:11" ht="63" customHeight="1" x14ac:dyDescent="0.25">
      <c r="A34" s="43" t="s">
        <v>18</v>
      </c>
      <c r="B34" s="59"/>
      <c r="C34" s="2"/>
      <c r="D34" s="82"/>
      <c r="E34" s="13" t="s">
        <v>3</v>
      </c>
      <c r="F34" s="49">
        <f>F14-F33</f>
        <v>0</v>
      </c>
      <c r="G34" s="14" t="s">
        <v>77</v>
      </c>
      <c r="H34" s="49">
        <f>H14-H33</f>
        <v>0</v>
      </c>
      <c r="I34" s="27" t="s">
        <v>4</v>
      </c>
      <c r="J34" s="49">
        <f>J14-J33</f>
        <v>0</v>
      </c>
    </row>
    <row r="35" spans="1:11" ht="75.75" customHeight="1" x14ac:dyDescent="0.25">
      <c r="A35" s="233" t="s">
        <v>13</v>
      </c>
      <c r="B35" s="81" t="str">
        <f>Questions!C2</f>
        <v>Has there been, or do you expect, a change in Accounts receivable?</v>
      </c>
      <c r="C35" s="33"/>
      <c r="D35" s="72"/>
      <c r="E35" s="113" t="str">
        <f>IF(OR(C35="Yes"),Questions!C13,"")</f>
        <v/>
      </c>
      <c r="F35" s="112" t="str">
        <f>IF(OR(C35="Yes"),'2019 Data'!D28,"")</f>
        <v/>
      </c>
      <c r="G35" s="111" t="str">
        <f>IF(OR(C35="Yes"),Questions!C14,"")</f>
        <v/>
      </c>
      <c r="H35" s="92"/>
      <c r="I35" s="38" t="str">
        <f>IF(OR(C35="Yes"),Questions!C28,"")</f>
        <v/>
      </c>
      <c r="J35" s="52" t="str">
        <f>IF(OR(C35="Yes"),SUM(F35-H35),"")</f>
        <v/>
      </c>
      <c r="K35" s="17"/>
    </row>
    <row r="36" spans="1:11" ht="75.75" customHeight="1" x14ac:dyDescent="0.25">
      <c r="A36" s="234"/>
      <c r="B36" s="96" t="str">
        <f>Questions!C3</f>
        <v>Has there been, or do you expect, a change in Accounts payable?</v>
      </c>
      <c r="C36" s="33"/>
      <c r="D36" s="72"/>
      <c r="E36" s="83" t="str">
        <f>IF(OR(C36="Yes"),Questions!C13,"")</f>
        <v/>
      </c>
      <c r="F36" s="93" t="str">
        <f>IF(OR(C36="Yes"),'2019 Data'!D29,"")</f>
        <v/>
      </c>
      <c r="G36" s="31" t="str">
        <f>IF(OR(C36="Yes"),Questions!C14,"")</f>
        <v/>
      </c>
      <c r="H36" s="92"/>
      <c r="I36" s="34" t="str">
        <f>IF(OR(C36="Yes"),Questions!C28,"")</f>
        <v/>
      </c>
      <c r="J36" s="47" t="str">
        <f>IF(OR(C36="Yes"),SUM(H36-F36),"")</f>
        <v/>
      </c>
    </row>
    <row r="37" spans="1:11" ht="75.75" customHeight="1" x14ac:dyDescent="0.25">
      <c r="A37" s="234"/>
      <c r="B37" s="81" t="str">
        <f>Questions!C4</f>
        <v>Will you delay pension fund contributions?</v>
      </c>
      <c r="C37" s="33"/>
      <c r="D37" s="72"/>
      <c r="E37" s="109" t="str">
        <f>IF(OR(C37="Yes"),Questions!C13,"")</f>
        <v/>
      </c>
      <c r="F37" s="110" t="str">
        <f>IF(OR(C37="Yes"),'2019 Data'!D30,"")</f>
        <v/>
      </c>
      <c r="G37" s="111" t="str">
        <f>IF(OR(C37="Yes"),Questions!C14,"")</f>
        <v/>
      </c>
      <c r="H37" s="92"/>
      <c r="I37" s="38" t="str">
        <f>IF(OR(C37="Yes"),Questions!C28,"")</f>
        <v/>
      </c>
      <c r="J37" s="52" t="str">
        <f>IF(OR(C37="Yes"),SUM(F37-H37),"")</f>
        <v/>
      </c>
      <c r="K37" s="44"/>
    </row>
    <row r="38" spans="1:11" ht="75.75" customHeight="1" x14ac:dyDescent="0.25">
      <c r="A38" s="234"/>
      <c r="B38" s="237" t="str">
        <f>Questions!C5</f>
        <v>Are there inter-agency funds transfers that have occurred, or that will occur?</v>
      </c>
      <c r="C38" s="239"/>
      <c r="D38" s="75"/>
      <c r="E38" s="83" t="str">
        <f>IF(OR(C38="Yes"),Questions!C15,"")</f>
        <v/>
      </c>
      <c r="F38" s="93" t="str">
        <f>IF(OR(C38="Yes"),'2019 Data'!D31,"")</f>
        <v/>
      </c>
      <c r="G38" s="31" t="str">
        <f>IF(OR(C38="Yes"),Questions!C16,"")</f>
        <v/>
      </c>
      <c r="H38" s="92"/>
      <c r="I38" s="34" t="str">
        <f>IF(OR(C38="Yes"),Questions!C28,"")</f>
        <v/>
      </c>
      <c r="J38" s="47" t="str">
        <f>IF(OR(C38="Yes"),SUM(F38-H38),"")</f>
        <v/>
      </c>
      <c r="K38" s="44"/>
    </row>
    <row r="39" spans="1:11" ht="75.75" customHeight="1" x14ac:dyDescent="0.25">
      <c r="A39" s="234"/>
      <c r="B39" s="238"/>
      <c r="C39" s="240"/>
      <c r="D39" s="74"/>
      <c r="E39" s="83" t="str">
        <f>IF(OR(C38="Yes"),Questions!C17,"")</f>
        <v/>
      </c>
      <c r="F39" s="93" t="str">
        <f>IF(OR(C38="Yes"),'2019 Data'!D32,"")</f>
        <v/>
      </c>
      <c r="G39" s="31" t="str">
        <f>IF(OR(C38="Yes"),Questions!C18,"")</f>
        <v/>
      </c>
      <c r="H39" s="92"/>
      <c r="I39" s="34" t="str">
        <f>IF(OR(C38="Yes"),Questions!C28,"")</f>
        <v/>
      </c>
      <c r="J39" s="47" t="str">
        <f>IF(OR(C38="Yes"),SUM(H39-F39),"")</f>
        <v/>
      </c>
      <c r="K39" s="44"/>
    </row>
    <row r="40" spans="1:11" ht="75.75" customHeight="1" x14ac:dyDescent="0.25">
      <c r="A40" s="234"/>
      <c r="B40" s="106" t="str">
        <f>Questions!C6</f>
        <v>Has there been, or do you expect, a change in the system's rate structure such as a delay in implementing a rate increase or temporary rate reductions?</v>
      </c>
      <c r="C40" s="33"/>
      <c r="D40" s="72"/>
      <c r="E40" s="58" t="str">
        <f>IF(OR(C40="Yes"),Questions!C19,"")</f>
        <v/>
      </c>
      <c r="F40" s="94" t="str">
        <f>IF(OR(C40="Yes"),'2019 Data'!D33,"")</f>
        <v/>
      </c>
      <c r="G40" s="37" t="str">
        <f>IF(OR(C40="Yes"),Questions!C20,"")</f>
        <v/>
      </c>
      <c r="H40" s="92"/>
      <c r="I40" s="38" t="str">
        <f>IF(OR(C40="Yes"),Questions!C28,"")</f>
        <v/>
      </c>
      <c r="J40" s="52" t="str">
        <f>IF(OR(C40="Yes"),SUM(H40-F40),"")</f>
        <v/>
      </c>
    </row>
    <row r="41" spans="1:11" ht="75.75" customHeight="1" x14ac:dyDescent="0.25">
      <c r="A41" s="234"/>
      <c r="B41" s="105" t="str">
        <f>Questions!C7</f>
        <v>Do you have a rate stabilization fund?</v>
      </c>
      <c r="C41" s="33"/>
      <c r="D41" s="72"/>
      <c r="E41" s="83" t="str">
        <f>IF(OR(C41="Yes"),Questions!C21,"")</f>
        <v/>
      </c>
      <c r="F41" s="93" t="str">
        <f>IF(OR(C41="Yes"),'2019 Data'!D34,"")</f>
        <v/>
      </c>
      <c r="G41" s="31" t="str">
        <f>IF(OR(C41="Yes"),Questions!C22,"")</f>
        <v/>
      </c>
      <c r="H41" s="92"/>
      <c r="I41" s="34" t="str">
        <f>IF(OR(C41="Yes"),Questions!C28,"")</f>
        <v/>
      </c>
      <c r="J41" s="47" t="str">
        <f>IF(OR(C41="Yes"),SUM(H41-F41),"")</f>
        <v/>
      </c>
    </row>
    <row r="42" spans="1:11" ht="75.75" customHeight="1" x14ac:dyDescent="0.25">
      <c r="A42" s="234"/>
      <c r="B42" s="106" t="str">
        <f>Questions!C8</f>
        <v>Has there been, or do you expect, a change in budgeted capital expenditures?</v>
      </c>
      <c r="C42" s="33"/>
      <c r="D42" s="72"/>
      <c r="E42" s="109" t="str">
        <f>IF(OR(C42="Yes"),Questions!C23,"")</f>
        <v/>
      </c>
      <c r="F42" s="110" t="str">
        <f>IF(OR(C42="Yes"),'2019 Data'!D35,"")</f>
        <v/>
      </c>
      <c r="G42" s="37" t="str">
        <f>IF(OR(C42="Yes"),Questions!C24,"")</f>
        <v/>
      </c>
      <c r="H42" s="92"/>
      <c r="I42" s="38" t="str">
        <f>IF(OR(C42="Yes"),Questions!C28,"")</f>
        <v/>
      </c>
      <c r="J42" s="52" t="str">
        <f>IF(OR(C42="Yes"),SUM(F42-H42),"")</f>
        <v/>
      </c>
      <c r="K42" s="44"/>
    </row>
    <row r="43" spans="1:11" ht="75.75" customHeight="1" x14ac:dyDescent="0.25">
      <c r="A43" s="234"/>
      <c r="B43" s="105" t="str">
        <f>Questions!C9</f>
        <v>Are there, or do you expect, a change in expenditures due to delayed construction projects?</v>
      </c>
      <c r="C43" s="33"/>
      <c r="D43" s="72"/>
      <c r="E43" s="231" t="str">
        <f>IF(OR(C43="Yes"),Questions!C25,"")</f>
        <v/>
      </c>
      <c r="F43" s="231"/>
      <c r="G43" s="232"/>
      <c r="H43" s="92"/>
      <c r="I43" s="34" t="str">
        <f>IF(OR(C43="Yes"),Questions!C28,"")</f>
        <v/>
      </c>
      <c r="J43" s="47" t="str">
        <f>IF(OR(C43="Yes"),H43,"")</f>
        <v/>
      </c>
      <c r="K43" s="44"/>
    </row>
    <row r="44" spans="1:11" ht="75.75" customHeight="1" x14ac:dyDescent="0.25">
      <c r="A44" s="234"/>
      <c r="B44" s="106" t="str">
        <f>Questions!C10</f>
        <v>Will you attempt to restructure existing debt?</v>
      </c>
      <c r="C44" s="33"/>
      <c r="D44" s="72"/>
      <c r="E44" s="229" t="str">
        <f>IF(OR(C44="Yes"),Questions!C25,"")</f>
        <v/>
      </c>
      <c r="F44" s="229"/>
      <c r="G44" s="230"/>
      <c r="H44" s="92"/>
      <c r="I44" s="38" t="str">
        <f>IF(OR(C44="Yes"),Questions!C28,"")</f>
        <v/>
      </c>
      <c r="J44" s="52" t="str">
        <f>IF(OR(C44="Yes"),H44,"")</f>
        <v/>
      </c>
      <c r="K44" s="44"/>
    </row>
    <row r="45" spans="1:11" ht="75.75" customHeight="1" x14ac:dyDescent="0.25">
      <c r="A45" s="234"/>
      <c r="B45" s="105" t="str">
        <f>Questions!C11</f>
        <v>Will you incur new debt?</v>
      </c>
      <c r="C45" s="33"/>
      <c r="D45" s="72"/>
      <c r="E45" s="231" t="str">
        <f>IF(OR(C45="Yes"),Questions!C25,"")</f>
        <v/>
      </c>
      <c r="F45" s="231"/>
      <c r="G45" s="232"/>
      <c r="H45" s="92"/>
      <c r="I45" s="114" t="str">
        <f>IF(OR(C45="Yes"),Questions!C28,"")</f>
        <v/>
      </c>
      <c r="J45" s="53" t="str">
        <f>IF(OR(C45="Yes"),H45,"")</f>
        <v/>
      </c>
      <c r="K45" s="44"/>
    </row>
    <row r="46" spans="1:11" ht="75.75" customHeight="1" x14ac:dyDescent="0.25">
      <c r="A46" s="235"/>
      <c r="B46" s="108" t="str">
        <f>Questions!C12</f>
        <v>Do you have available cash on hand?</v>
      </c>
      <c r="C46" s="66"/>
      <c r="D46" s="72"/>
      <c r="E46" s="229" t="str">
        <f>IF(OR(C46="Yes"),Questions!C26,"")</f>
        <v/>
      </c>
      <c r="F46" s="229"/>
      <c r="G46" s="230"/>
      <c r="H46" s="32"/>
      <c r="I46" s="38" t="str">
        <f>IF(OR(C46="Yes"),Questions!C28,"")</f>
        <v/>
      </c>
      <c r="J46" s="52" t="str">
        <f>IF(OR(C46="Yes"),H46,"")</f>
        <v/>
      </c>
      <c r="K46" s="44"/>
    </row>
    <row r="47" spans="1:11" ht="75.75" customHeight="1" x14ac:dyDescent="0.25">
      <c r="A47" s="235"/>
      <c r="B47" s="59" t="s">
        <v>254</v>
      </c>
      <c r="C47" s="33"/>
      <c r="D47" s="72"/>
      <c r="E47" s="231" t="str">
        <f>IF(OR(C47="Yes"),Questions!C27,"")</f>
        <v/>
      </c>
      <c r="F47" s="231"/>
      <c r="G47" s="232"/>
      <c r="H47" s="107"/>
      <c r="I47" s="34" t="str">
        <f>IF(OR(C47="Yes"),Questions!C28,"")</f>
        <v/>
      </c>
      <c r="J47" s="47" t="str">
        <f>IF(OR(C47="Yes"),H47,"")</f>
        <v/>
      </c>
      <c r="K47" s="44"/>
    </row>
    <row r="48" spans="1:11" ht="75.75" customHeight="1" x14ac:dyDescent="0.25">
      <c r="A48" s="236"/>
      <c r="B48" s="61"/>
      <c r="C48" s="85"/>
      <c r="D48" s="58"/>
      <c r="E48" s="84" t="s">
        <v>93</v>
      </c>
      <c r="F48" s="65">
        <f>SUM(F35:F47)</f>
        <v>0</v>
      </c>
      <c r="G48" s="45" t="s">
        <v>98</v>
      </c>
      <c r="H48" s="65">
        <f>SUM(H35:H47)</f>
        <v>0</v>
      </c>
      <c r="I48" s="56" t="s">
        <v>99</v>
      </c>
      <c r="J48" s="57">
        <f>SUM(J35:J47)</f>
        <v>0</v>
      </c>
    </row>
    <row r="49" spans="10:10" x14ac:dyDescent="0.25">
      <c r="J49" s="25"/>
    </row>
  </sheetData>
  <mergeCells count="19">
    <mergeCell ref="C17:C18"/>
    <mergeCell ref="B30:B31"/>
    <mergeCell ref="C30:C31"/>
    <mergeCell ref="A1:J1"/>
    <mergeCell ref="E30:G30"/>
    <mergeCell ref="E31:G31"/>
    <mergeCell ref="A2:A14"/>
    <mergeCell ref="B2:B3"/>
    <mergeCell ref="A15:A33"/>
    <mergeCell ref="B15:B16"/>
    <mergeCell ref="B17:B18"/>
    <mergeCell ref="A35:A48"/>
    <mergeCell ref="B38:B39"/>
    <mergeCell ref="C38:C39"/>
    <mergeCell ref="E44:G44"/>
    <mergeCell ref="E45:G45"/>
    <mergeCell ref="E46:G46"/>
    <mergeCell ref="E43:G43"/>
    <mergeCell ref="E47:G47"/>
  </mergeCells>
  <dataValidations count="1">
    <dataValidation type="list" allowBlank="1" showInputMessage="1" showErrorMessage="1" sqref="C4:C13 C17:C32 C35:C38 C40:C47 F9" xr:uid="{E6B6B06A-58D7-4D06-AAA8-E494D3B49761}">
      <formula1>"Yes,No"</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2769" r:id="rId4" name="CommandButton1">
          <controlPr defaultSize="0" autoLine="0" r:id="rId5">
            <anchor moveWithCells="1">
              <from>
                <xdr:col>2</xdr:col>
                <xdr:colOff>200025</xdr:colOff>
                <xdr:row>1</xdr:row>
                <xdr:rowOff>95250</xdr:rowOff>
              </from>
              <to>
                <xdr:col>2</xdr:col>
                <xdr:colOff>828675</xdr:colOff>
                <xdr:row>1</xdr:row>
                <xdr:rowOff>666750</xdr:rowOff>
              </to>
            </anchor>
          </controlPr>
        </control>
      </mc:Choice>
      <mc:Fallback>
        <control shapeId="32769" r:id="rId4" name="CommandButton1"/>
      </mc:Fallback>
    </mc:AlternateContent>
    <mc:AlternateContent xmlns:mc="http://schemas.openxmlformats.org/markup-compatibility/2006">
      <mc:Choice Requires="x14">
        <control shapeId="32770" r:id="rId6" name="CommandButton2">
          <controlPr defaultSize="0" autoLine="0" r:id="rId7">
            <anchor moveWithCells="1">
              <from>
                <xdr:col>2</xdr:col>
                <xdr:colOff>200025</xdr:colOff>
                <xdr:row>2</xdr:row>
                <xdr:rowOff>85725</xdr:rowOff>
              </from>
              <to>
                <xdr:col>2</xdr:col>
                <xdr:colOff>809625</xdr:colOff>
                <xdr:row>2</xdr:row>
                <xdr:rowOff>647700</xdr:rowOff>
              </to>
            </anchor>
          </controlPr>
        </control>
      </mc:Choice>
      <mc:Fallback>
        <control shapeId="32770" r:id="rId6" name="CommandButton2"/>
      </mc:Fallback>
    </mc:AlternateContent>
    <mc:AlternateContent xmlns:mc="http://schemas.openxmlformats.org/markup-compatibility/2006">
      <mc:Choice Requires="x14">
        <control shapeId="32771" r:id="rId8" name="CommandButton3">
          <controlPr defaultSize="0" autoLine="0" r:id="rId9">
            <anchor moveWithCells="1">
              <from>
                <xdr:col>2</xdr:col>
                <xdr:colOff>180975</xdr:colOff>
                <xdr:row>14</xdr:row>
                <xdr:rowOff>133350</xdr:rowOff>
              </from>
              <to>
                <xdr:col>2</xdr:col>
                <xdr:colOff>800100</xdr:colOff>
                <xdr:row>14</xdr:row>
                <xdr:rowOff>695325</xdr:rowOff>
              </to>
            </anchor>
          </controlPr>
        </control>
      </mc:Choice>
      <mc:Fallback>
        <control shapeId="32771" r:id="rId8" name="CommandButton3"/>
      </mc:Fallback>
    </mc:AlternateContent>
    <mc:AlternateContent xmlns:mc="http://schemas.openxmlformats.org/markup-compatibility/2006">
      <mc:Choice Requires="x14">
        <control shapeId="32772" r:id="rId10" name="CommandButton4">
          <controlPr defaultSize="0" autoLine="0" r:id="rId11">
            <anchor moveWithCells="1">
              <from>
                <xdr:col>2</xdr:col>
                <xdr:colOff>190500</xdr:colOff>
                <xdr:row>15</xdr:row>
                <xdr:rowOff>114300</xdr:rowOff>
              </from>
              <to>
                <xdr:col>2</xdr:col>
                <xdr:colOff>809625</xdr:colOff>
                <xdr:row>15</xdr:row>
                <xdr:rowOff>666750</xdr:rowOff>
              </to>
            </anchor>
          </controlPr>
        </control>
      </mc:Choice>
      <mc:Fallback>
        <control shapeId="32772" r:id="rId10" name="CommandButton4"/>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18B08-E2AB-4D8C-8C20-DEDDFAB38DC9}">
  <sheetPr codeName="Sheet9">
    <tabColor rgb="FFFFFF9B"/>
  </sheetPr>
  <dimension ref="A1:K49"/>
  <sheetViews>
    <sheetView zoomScaleNormal="100" workbookViewId="0">
      <pane ySplit="1" topLeftCell="A2" activePane="bottomLeft" state="frozen"/>
      <selection activeCell="K3" sqref="K3"/>
      <selection pane="bottomLeft" activeCell="A2" sqref="A2:A14"/>
    </sheetView>
  </sheetViews>
  <sheetFormatPr defaultColWidth="9.140625" defaultRowHeight="15" x14ac:dyDescent="0.25"/>
  <cols>
    <col min="1" max="1" width="10.7109375" style="15" customWidth="1"/>
    <col min="2" max="2" width="28.140625" style="16" customWidth="1"/>
    <col min="3" max="3" width="14" style="17" customWidth="1"/>
    <col min="4" max="4" width="2.7109375" style="4" customWidth="1"/>
    <col min="5" max="5" width="28.42578125" style="17" customWidth="1"/>
    <col min="6" max="6" width="17.7109375" style="18" customWidth="1"/>
    <col min="7" max="7" width="31.140625" style="17" customWidth="1"/>
    <col min="8" max="8" width="17.7109375" style="18" customWidth="1"/>
    <col min="9" max="9" width="23.140625" style="25" customWidth="1"/>
    <col min="10" max="10" width="17.7109375" style="19" customWidth="1"/>
    <col min="11" max="11" width="22.7109375" style="4" bestFit="1" customWidth="1"/>
    <col min="12" max="16384" width="9.140625" style="4"/>
  </cols>
  <sheetData>
    <row r="1" spans="1:10" s="1" customFormat="1" ht="27.75" customHeight="1" thickTop="1" x14ac:dyDescent="0.25">
      <c r="A1" s="241" t="s">
        <v>169</v>
      </c>
      <c r="B1" s="242"/>
      <c r="C1" s="242"/>
      <c r="D1" s="242"/>
      <c r="E1" s="242"/>
      <c r="F1" s="242"/>
      <c r="G1" s="242"/>
      <c r="H1" s="242"/>
      <c r="I1" s="242"/>
      <c r="J1" s="242"/>
    </row>
    <row r="2" spans="1:10" ht="63" customHeight="1" x14ac:dyDescent="0.25">
      <c r="A2" s="249" t="s">
        <v>1</v>
      </c>
      <c r="B2" s="243" t="s">
        <v>11</v>
      </c>
      <c r="C2" s="66"/>
      <c r="D2" s="75"/>
      <c r="E2" s="2"/>
      <c r="F2" s="3"/>
      <c r="G2" s="2"/>
      <c r="H2" s="3"/>
      <c r="I2" s="24"/>
      <c r="J2" s="53"/>
    </row>
    <row r="3" spans="1:10" ht="63" customHeight="1" x14ac:dyDescent="0.25">
      <c r="A3" s="250"/>
      <c r="B3" s="244"/>
      <c r="C3" s="68"/>
      <c r="D3" s="76"/>
      <c r="E3" s="73" t="s">
        <v>87</v>
      </c>
      <c r="F3" s="11"/>
      <c r="G3" s="10"/>
      <c r="H3" s="11"/>
      <c r="I3" s="54"/>
      <c r="J3" s="55"/>
    </row>
    <row r="4" spans="1:10" ht="63" hidden="1" customHeight="1" x14ac:dyDescent="0.25">
      <c r="A4" s="250"/>
      <c r="B4" s="42" t="str">
        <f>Questions!A2</f>
        <v>Have commercial/industrial revenues been impacted?</v>
      </c>
      <c r="C4" s="68"/>
      <c r="D4" s="74"/>
      <c r="E4" s="30" t="str">
        <f>IF(OR(C4="Yes"),Questions!A3,"")</f>
        <v/>
      </c>
      <c r="F4" s="88" t="str">
        <f>IF(OR(C4="Yes"),'2019 Data'!D3,"")</f>
        <v/>
      </c>
      <c r="G4" s="30" t="str">
        <f>IF(OR(C4="Yes"),Questions!A4,"")</f>
        <v/>
      </c>
      <c r="H4" s="86"/>
      <c r="I4" s="70" t="str">
        <f>IF(OR(C4="Yes"),Questions!A5,"")</f>
        <v/>
      </c>
      <c r="J4" s="71" t="str">
        <f t="shared" ref="J4:J13" si="0">IF(OR(C4="Yes"),SUM(H4-F4),"")</f>
        <v/>
      </c>
    </row>
    <row r="5" spans="1:10" ht="63" hidden="1" customHeight="1" x14ac:dyDescent="0.25">
      <c r="A5" s="250"/>
      <c r="B5" s="60" t="str">
        <f>Questions!A6</f>
        <v>Have residential revenues been impacted?</v>
      </c>
      <c r="C5" s="33"/>
      <c r="D5" s="74"/>
      <c r="E5" s="6" t="str">
        <f>IF(OR(C5="Yes"),Questions!A7,"")</f>
        <v/>
      </c>
      <c r="F5" s="89" t="str">
        <f>IF(OR(C5="Yes"),'2019 Data'!D4,"")</f>
        <v/>
      </c>
      <c r="G5" s="6" t="str">
        <f>IF(OR(C5="Yes"),Questions!A8,"")</f>
        <v/>
      </c>
      <c r="H5" s="87"/>
      <c r="I5" s="34" t="str">
        <f>IF(OR(C5="Yes"),Questions!A9,"")</f>
        <v/>
      </c>
      <c r="J5" s="47" t="str">
        <f t="shared" si="0"/>
        <v/>
      </c>
    </row>
    <row r="6" spans="1:10" ht="63" hidden="1" customHeight="1" x14ac:dyDescent="0.25">
      <c r="A6" s="250"/>
      <c r="B6" s="42" t="str">
        <f>Questions!A10</f>
        <v>Do you sell wholesale water/wastewater treatment?</v>
      </c>
      <c r="C6" s="33"/>
      <c r="D6" s="74"/>
      <c r="E6" s="5" t="str">
        <f>IF(OR(C6="Yes"),Questions!A11,"")</f>
        <v/>
      </c>
      <c r="F6" s="88" t="str">
        <f>IF(OR(C6="Yes"),'2019 Data'!D5,"")</f>
        <v/>
      </c>
      <c r="G6" s="5" t="str">
        <f>IF(OR(C6="Yes"),Questions!A12,"")</f>
        <v/>
      </c>
      <c r="H6" s="87"/>
      <c r="I6" s="35" t="str">
        <f>IF(OR(C6="Yes"),Questions!A13,"")</f>
        <v/>
      </c>
      <c r="J6" s="46" t="str">
        <f t="shared" si="0"/>
        <v/>
      </c>
    </row>
    <row r="7" spans="1:10" ht="63" hidden="1" customHeight="1" x14ac:dyDescent="0.25">
      <c r="A7" s="250"/>
      <c r="B7" s="60" t="str">
        <f>Questions!A14</f>
        <v>Do you charge connection/tap fees?</v>
      </c>
      <c r="C7" s="33"/>
      <c r="D7" s="74"/>
      <c r="E7" s="6" t="str">
        <f>IF(OR(C7="Yes"),Questions!A15,"")</f>
        <v/>
      </c>
      <c r="F7" s="89" t="str">
        <f>IF(OR(C7="Yes"),'2019 Data'!D6,"")</f>
        <v/>
      </c>
      <c r="G7" s="6" t="str">
        <f>IF(OR(C7="Yes"),Questions!A16,"")</f>
        <v/>
      </c>
      <c r="H7" s="87"/>
      <c r="I7" s="34" t="str">
        <f>IF(OR(C7="Yes"),Questions!A17,"")</f>
        <v/>
      </c>
      <c r="J7" s="47" t="str">
        <f t="shared" si="0"/>
        <v/>
      </c>
    </row>
    <row r="8" spans="1:10" ht="63" hidden="1" customHeight="1" x14ac:dyDescent="0.25">
      <c r="A8" s="250"/>
      <c r="B8" s="42" t="str">
        <f>Questions!A18</f>
        <v>Are you suspending late fees?</v>
      </c>
      <c r="C8" s="33"/>
      <c r="D8" s="74"/>
      <c r="E8" s="5" t="str">
        <f>IF(OR(C8="Yes"),Questions!A19,"")</f>
        <v/>
      </c>
      <c r="F8" s="88" t="str">
        <f>IF(OR(C8="Yes"),'2019 Data'!D7,"")</f>
        <v/>
      </c>
      <c r="G8" s="5" t="str">
        <f>IF(OR(C8="Yes"),Questions!A20,"")</f>
        <v/>
      </c>
      <c r="H8" s="87"/>
      <c r="I8" s="35" t="str">
        <f>IF(OR(C8="Yes"),Questions!A21,"")</f>
        <v/>
      </c>
      <c r="J8" s="46" t="str">
        <f t="shared" si="0"/>
        <v/>
      </c>
    </row>
    <row r="9" spans="1:10" ht="63" hidden="1" customHeight="1" x14ac:dyDescent="0.25">
      <c r="A9" s="250"/>
      <c r="B9" s="95" t="str">
        <f>Questions!A22</f>
        <v>Are you suspending shutoffs?</v>
      </c>
      <c r="C9" s="33"/>
      <c r="D9" s="74"/>
      <c r="E9" s="6" t="str">
        <f>IF(OR(C9="Yes"),Questions!A23,"")</f>
        <v/>
      </c>
      <c r="F9" s="115"/>
      <c r="G9" s="6" t="str">
        <f>IF(OR(F9="Yes"),Questions!A24,"")</f>
        <v/>
      </c>
      <c r="H9" s="87"/>
      <c r="I9" s="34" t="str">
        <f>IF(OR(F9="Yes"),Questions!A25,"")</f>
        <v/>
      </c>
      <c r="J9" s="47" t="str">
        <f>IF(OR(F9="Yes"),-H9,"")</f>
        <v/>
      </c>
    </row>
    <row r="10" spans="1:10" ht="63" hidden="1" customHeight="1" x14ac:dyDescent="0.25">
      <c r="A10" s="250"/>
      <c r="B10" s="42" t="str">
        <f>Questions!A26</f>
        <v>Does your system receive tax revenue either directly or from a parent agency?</v>
      </c>
      <c r="C10" s="33"/>
      <c r="D10" s="74"/>
      <c r="E10" s="5" t="str">
        <f>IF(OR(C10="Yes"),Questions!A27,"")</f>
        <v/>
      </c>
      <c r="F10" s="88" t="str">
        <f>IF(OR(C10="Yes"),'2019 Data'!D8,"")</f>
        <v/>
      </c>
      <c r="G10" s="29" t="str">
        <f>IF(OR(C10="Yes"),Questions!A28,"")</f>
        <v/>
      </c>
      <c r="H10" s="87"/>
      <c r="I10" s="35" t="str">
        <f>IF(OR(C10="Yes"),Questions!A29,"")</f>
        <v/>
      </c>
      <c r="J10" s="46" t="str">
        <f t="shared" si="0"/>
        <v/>
      </c>
    </row>
    <row r="11" spans="1:10" ht="63" hidden="1" customHeight="1" x14ac:dyDescent="0.25">
      <c r="A11" s="250"/>
      <c r="B11" s="60" t="str">
        <f>Questions!A30</f>
        <v>Do you sell byproducts (e.g., biosolids, electricity, etc.)?</v>
      </c>
      <c r="C11" s="33"/>
      <c r="D11" s="74"/>
      <c r="E11" s="6" t="str">
        <f>IF(OR(C11="Yes"),Questions!A31,"")</f>
        <v/>
      </c>
      <c r="F11" s="89" t="str">
        <f>IF(OR(C11="Yes"),'2019 Data'!D9,"")</f>
        <v/>
      </c>
      <c r="G11" s="83" t="str">
        <f>IF(OR(C11="Yes"),Questions!A32,"")</f>
        <v/>
      </c>
      <c r="H11" s="87"/>
      <c r="I11" s="34" t="str">
        <f>IF(OR(C11="Yes"),Questions!A33,"")</f>
        <v/>
      </c>
      <c r="J11" s="47" t="str">
        <f t="shared" si="0"/>
        <v/>
      </c>
    </row>
    <row r="12" spans="1:10" ht="63" hidden="1" customHeight="1" x14ac:dyDescent="0.25">
      <c r="A12" s="250"/>
      <c r="B12" s="42" t="str">
        <f>Questions!A34</f>
        <v>Do you generate interest income from cash on hand?</v>
      </c>
      <c r="C12" s="33"/>
      <c r="D12" s="74"/>
      <c r="E12" s="5" t="str">
        <f>IF(OR(C12="Yes"),Questions!A35,"")</f>
        <v/>
      </c>
      <c r="F12" s="88" t="str">
        <f>IF(OR(C12="Yes"),'2019 Data'!D10,"")</f>
        <v/>
      </c>
      <c r="G12" s="30" t="str">
        <f>IF(OR(C12="Yes"),Questions!A36,"")</f>
        <v/>
      </c>
      <c r="H12" s="87"/>
      <c r="I12" s="35" t="str">
        <f>IF(OR(C12="Yes"),Questions!A37,"")</f>
        <v/>
      </c>
      <c r="J12" s="46" t="str">
        <f t="shared" si="0"/>
        <v/>
      </c>
    </row>
    <row r="13" spans="1:10" ht="63" hidden="1" customHeight="1" x14ac:dyDescent="0.25">
      <c r="A13" s="250"/>
      <c r="B13" s="62" t="str">
        <f>Questions!A38</f>
        <v>Do you have additional revenue streams that have not been identified?</v>
      </c>
      <c r="C13" s="66"/>
      <c r="D13" s="77"/>
      <c r="E13" s="7" t="str">
        <f>IF(OR(C13="Yes"),Questions!A39,"")</f>
        <v/>
      </c>
      <c r="F13" s="90" t="str">
        <f>IF(OR(C13="Yes"),'2019 Data'!D11,"")</f>
        <v/>
      </c>
      <c r="G13" s="6" t="str">
        <f>IF(OR(C13="Yes"),Questions!A40,"")</f>
        <v/>
      </c>
      <c r="H13" s="87"/>
      <c r="I13" s="34" t="str">
        <f>IF(OR(C13="Yes"),Questions!A41,"")</f>
        <v/>
      </c>
      <c r="J13" s="47" t="str">
        <f t="shared" si="0"/>
        <v/>
      </c>
    </row>
    <row r="14" spans="1:10" ht="63" hidden="1" customHeight="1" x14ac:dyDescent="0.25">
      <c r="A14" s="251"/>
      <c r="B14" s="78"/>
      <c r="C14" s="29"/>
      <c r="D14" s="79"/>
      <c r="E14" s="8" t="s">
        <v>0</v>
      </c>
      <c r="F14" s="48">
        <f>SUM(F2:F13)</f>
        <v>0</v>
      </c>
      <c r="G14" s="8" t="s">
        <v>102</v>
      </c>
      <c r="H14" s="48">
        <f>SUM(H2:H13)</f>
        <v>0</v>
      </c>
      <c r="I14" s="28" t="s">
        <v>100</v>
      </c>
      <c r="J14" s="48">
        <f>SUM(J2:J13)</f>
        <v>0</v>
      </c>
    </row>
    <row r="15" spans="1:10" ht="63" customHeight="1" x14ac:dyDescent="0.25">
      <c r="A15" s="252" t="s">
        <v>9</v>
      </c>
      <c r="B15" s="245" t="s">
        <v>298</v>
      </c>
      <c r="C15" s="66"/>
      <c r="D15" s="75"/>
      <c r="E15" s="2"/>
      <c r="F15" s="3"/>
      <c r="G15" s="2"/>
      <c r="H15" s="3"/>
      <c r="I15" s="24"/>
      <c r="J15" s="53"/>
    </row>
    <row r="16" spans="1:10" ht="63" customHeight="1" x14ac:dyDescent="0.25">
      <c r="A16" s="253"/>
      <c r="B16" s="246"/>
      <c r="C16" s="67"/>
      <c r="D16" s="77"/>
      <c r="E16" s="98" t="s">
        <v>245</v>
      </c>
      <c r="F16" s="11"/>
      <c r="G16" s="10"/>
      <c r="H16" s="11"/>
      <c r="I16" s="54"/>
      <c r="J16" s="55"/>
    </row>
    <row r="17" spans="1:11" ht="63" hidden="1" customHeight="1" x14ac:dyDescent="0.25">
      <c r="A17" s="253"/>
      <c r="B17" s="247" t="str">
        <f>Questions!B2</f>
        <v>Have your labor costs, regular and overtime, changed?</v>
      </c>
      <c r="C17" s="239"/>
      <c r="D17" s="75"/>
      <c r="E17" s="9" t="str">
        <f>IF(OR(C17="Yes"),Questions!B3,"")</f>
        <v/>
      </c>
      <c r="F17" s="91" t="str">
        <f>IF(OR(C17="Yes"),'2019 Data'!D13,"")</f>
        <v/>
      </c>
      <c r="G17" s="9" t="str">
        <f>IF(OR(C17="Yes"),Questions!B4,"")</f>
        <v/>
      </c>
      <c r="H17" s="87"/>
      <c r="I17" s="36" t="str">
        <f>IF(OR(C17="Yes"),Questions!B5,"")</f>
        <v/>
      </c>
      <c r="J17" s="50" t="str">
        <f>IF(OR(C17="Yes"),SUM(H17-F17),"")</f>
        <v/>
      </c>
    </row>
    <row r="18" spans="1:11" ht="63" hidden="1" customHeight="1" x14ac:dyDescent="0.25">
      <c r="A18" s="253"/>
      <c r="B18" s="248"/>
      <c r="C18" s="240"/>
      <c r="D18" s="77"/>
      <c r="E18" s="9" t="str">
        <f>IF(OR(C17="Yes"),Questions!B6,"")</f>
        <v/>
      </c>
      <c r="F18" s="91" t="str">
        <f>IF(OR(C17="Yes"),'2019 Data'!D14,"")</f>
        <v/>
      </c>
      <c r="G18" s="9" t="str">
        <f>IF(OR(C17="Yes"),Questions!B7,"")</f>
        <v/>
      </c>
      <c r="H18" s="87"/>
      <c r="I18" s="36" t="str">
        <f>IF(OR(C17="Yes"),Questions!B8,"")</f>
        <v/>
      </c>
      <c r="J18" s="50" t="str">
        <f>IF(OR(C17="Yes"),SUM(H18-F18),"")</f>
        <v/>
      </c>
    </row>
    <row r="19" spans="1:11" ht="63" hidden="1" customHeight="1" x14ac:dyDescent="0.25">
      <c r="A19" s="253"/>
      <c r="B19" s="95" t="str">
        <f>Questions!B9</f>
        <v>Do you purchase water for resale?</v>
      </c>
      <c r="C19" s="33"/>
      <c r="D19" s="72"/>
      <c r="E19" s="10" t="str">
        <f>IF(OR(C19="Yes"),Questions!B10,"")</f>
        <v/>
      </c>
      <c r="F19" s="89" t="str">
        <f>IF(OR(C19="Yes"),'2019 Data'!D15,"")</f>
        <v/>
      </c>
      <c r="G19" s="10" t="str">
        <f>IF(OR(C19="Yes"),Questions!B11,"")</f>
        <v/>
      </c>
      <c r="H19" s="87"/>
      <c r="I19" s="34" t="str">
        <f>IF(OR(C19="Yes"),Questions!B12,"")</f>
        <v/>
      </c>
      <c r="J19" s="47" t="str">
        <f t="shared" ref="J19:J22" si="1">IF(OR(C19="Yes"),SUM(H19-F19),"")</f>
        <v/>
      </c>
    </row>
    <row r="20" spans="1:11" ht="63" hidden="1" customHeight="1" x14ac:dyDescent="0.25">
      <c r="A20" s="253"/>
      <c r="B20" s="97" t="s">
        <v>193</v>
      </c>
      <c r="C20" s="33"/>
      <c r="D20" s="72"/>
      <c r="E20" s="69" t="str">
        <f>IF(OR(C20="Yes"),Questions!B14,"")</f>
        <v/>
      </c>
      <c r="F20" s="91" t="str">
        <f>IF(OR(C20="Yes"),'2019 Data'!D16,"")</f>
        <v/>
      </c>
      <c r="G20" s="69" t="str">
        <f>IF(OR(C20="Yes"),Questions!B15,"")</f>
        <v/>
      </c>
      <c r="H20" s="87"/>
      <c r="I20" s="36" t="str">
        <f>IF(OR(C20="Yes"),Questions!B16,"")</f>
        <v/>
      </c>
      <c r="J20" s="50" t="str">
        <f t="shared" si="1"/>
        <v/>
      </c>
    </row>
    <row r="21" spans="1:11" ht="63" hidden="1" customHeight="1" x14ac:dyDescent="0.25">
      <c r="A21" s="253"/>
      <c r="B21" s="95" t="str">
        <f>Questions!B17</f>
        <v>Have your chemical usages changed?</v>
      </c>
      <c r="C21" s="33"/>
      <c r="D21" s="72"/>
      <c r="E21" s="6" t="str">
        <f>IF(OR(C21="Yes"),Questions!B18,"")</f>
        <v/>
      </c>
      <c r="F21" s="89" t="str">
        <f>IF(OR(C21="Yes"),'2019 Data'!D17,"")</f>
        <v/>
      </c>
      <c r="G21" s="6" t="str">
        <f>IF(OR(C21="Yes"),Questions!B19,"")</f>
        <v/>
      </c>
      <c r="H21" s="87"/>
      <c r="I21" s="34" t="str">
        <f>IF(OR(C21="Yes"),Questions!B20,"")</f>
        <v/>
      </c>
      <c r="J21" s="47" t="str">
        <f t="shared" si="1"/>
        <v/>
      </c>
    </row>
    <row r="22" spans="1:11" ht="63" hidden="1" customHeight="1" x14ac:dyDescent="0.25">
      <c r="A22" s="253"/>
      <c r="B22" s="97" t="str">
        <f>Questions!B21</f>
        <v>Have your disposal costs changed?</v>
      </c>
      <c r="C22" s="33"/>
      <c r="D22" s="72"/>
      <c r="E22" s="9" t="str">
        <f>IF(OR(C22="Yes"),Questions!B22,"")</f>
        <v/>
      </c>
      <c r="F22" s="91" t="str">
        <f>IF(OR(C22="Yes"),'2019 Data'!D18,"")</f>
        <v/>
      </c>
      <c r="G22" s="9" t="str">
        <f>IF(OR(C22="Yes"),Questions!B23,"")</f>
        <v/>
      </c>
      <c r="H22" s="87"/>
      <c r="I22" s="36" t="str">
        <f>IF(OR(C22="Yes"),Questions!B24,"")</f>
        <v/>
      </c>
      <c r="J22" s="50" t="str">
        <f t="shared" si="1"/>
        <v/>
      </c>
    </row>
    <row r="23" spans="1:11" ht="63" hidden="1" customHeight="1" x14ac:dyDescent="0.25">
      <c r="A23" s="253"/>
      <c r="B23" s="60" t="str">
        <f>Questions!B25</f>
        <v>Have your testing expenses changed?</v>
      </c>
      <c r="C23" s="33"/>
      <c r="D23" s="72"/>
      <c r="E23" s="6" t="str">
        <f>IF(OR(C23="Yes"),Questions!B26,"")</f>
        <v/>
      </c>
      <c r="F23" s="89" t="str">
        <f>IF(OR(C23="Yes"),'2019 Data'!D19,"")</f>
        <v/>
      </c>
      <c r="G23" s="6" t="str">
        <f>IF(OR(C23="Yes"),Questions!B27,"")</f>
        <v/>
      </c>
      <c r="H23" s="87"/>
      <c r="I23" s="34" t="str">
        <f>IF(OR(C23="Yes"),Questions!B28,"")</f>
        <v/>
      </c>
      <c r="J23" s="47" t="str">
        <f t="shared" ref="J23:J30" si="2">IF(OR(C23="Yes"),SUM(H23-F23),"")</f>
        <v/>
      </c>
    </row>
    <row r="24" spans="1:11" ht="63" hidden="1" customHeight="1" x14ac:dyDescent="0.25">
      <c r="A24" s="253"/>
      <c r="B24" s="64" t="str">
        <f>Questions!B29</f>
        <v>Has there been a change in the system's energy bill?</v>
      </c>
      <c r="C24" s="33"/>
      <c r="D24" s="72"/>
      <c r="E24" s="9" t="str">
        <f>IF(OR(C24="Yes"),Questions!B30,"")</f>
        <v/>
      </c>
      <c r="F24" s="91" t="str">
        <f>IF(OR(C24="Yes"),'2019 Data'!D20,"")</f>
        <v/>
      </c>
      <c r="G24" s="9" t="str">
        <f>IF(OR(C24="Yes"),Questions!B31,"")</f>
        <v/>
      </c>
      <c r="H24" s="87"/>
      <c r="I24" s="36" t="str">
        <f>IF(OR(C24="Yes"),Questions!B32,"")</f>
        <v/>
      </c>
      <c r="J24" s="50" t="str">
        <f t="shared" si="2"/>
        <v/>
      </c>
    </row>
    <row r="25" spans="1:11" ht="63" hidden="1" customHeight="1" x14ac:dyDescent="0.25">
      <c r="A25" s="253"/>
      <c r="B25" s="60" t="str">
        <f>Questions!B33</f>
        <v>Has there been a change in the system's other utility services?</v>
      </c>
      <c r="C25" s="33"/>
      <c r="D25" s="72"/>
      <c r="E25" s="7" t="str">
        <f>IF(OR(C25="Yes"),Questions!B34,"")</f>
        <v/>
      </c>
      <c r="F25" s="90" t="str">
        <f>IF(OR(C25="Yes"),'2019 Data'!D21,"")</f>
        <v/>
      </c>
      <c r="G25" s="6" t="str">
        <f>IF(OR(C25="Yes"),Questions!B35,"")</f>
        <v/>
      </c>
      <c r="H25" s="87"/>
      <c r="I25" s="34" t="str">
        <f>IF(OR(C25="Yes"),Questions!B36,"")</f>
        <v/>
      </c>
      <c r="J25" s="47" t="str">
        <f t="shared" si="2"/>
        <v/>
      </c>
    </row>
    <row r="26" spans="1:11" ht="63" hidden="1" customHeight="1" x14ac:dyDescent="0.25">
      <c r="A26" s="253"/>
      <c r="B26" s="64" t="str">
        <f>Questions!B37</f>
        <v>Has there been a change in use of supplies (supply chains)?</v>
      </c>
      <c r="C26" s="33"/>
      <c r="D26" s="72"/>
      <c r="E26" s="9" t="str">
        <f>IF(OR(C26="Yes"),Questions!B38,"")</f>
        <v/>
      </c>
      <c r="F26" s="91" t="str">
        <f>IF(OR(C26="Yes"),'2019 Data'!D22,"")</f>
        <v/>
      </c>
      <c r="G26" s="9" t="str">
        <f>IF(OR(C26="Yes"),Questions!B39,"")</f>
        <v/>
      </c>
      <c r="H26" s="87"/>
      <c r="I26" s="36" t="str">
        <f>IF(OR(C26="Yes"),Questions!B40,"")</f>
        <v/>
      </c>
      <c r="J26" s="50" t="str">
        <f t="shared" si="2"/>
        <v/>
      </c>
    </row>
    <row r="27" spans="1:11" ht="63" hidden="1" customHeight="1" x14ac:dyDescent="0.25">
      <c r="A27" s="253"/>
      <c r="B27" s="60" t="str">
        <f>Questions!B41</f>
        <v>Has there been a change in supplying uniforms/attire?</v>
      </c>
      <c r="C27" s="33"/>
      <c r="D27" s="72"/>
      <c r="E27" s="6" t="str">
        <f>IF(OR(C27="Yes"),Questions!B42,"")</f>
        <v/>
      </c>
      <c r="F27" s="89" t="str">
        <f>IF(OR(C27="Yes"),'2019 Data'!D23,"")</f>
        <v/>
      </c>
      <c r="G27" s="6" t="str">
        <f>IF(OR(C27="Yes"),Questions!B43,"")</f>
        <v/>
      </c>
      <c r="H27" s="87"/>
      <c r="I27" s="34" t="str">
        <f>IF(OR(C27="Yes"),Questions!B44,"")</f>
        <v/>
      </c>
      <c r="J27" s="47" t="str">
        <f t="shared" si="2"/>
        <v/>
      </c>
    </row>
    <row r="28" spans="1:11" ht="63" hidden="1" customHeight="1" x14ac:dyDescent="0.25">
      <c r="A28" s="253"/>
      <c r="B28" s="64" t="str">
        <f>Questions!B45</f>
        <v>Has there been a change in supplying Personal Protection Equipment (PPE) or other materials, such as cloth masks?</v>
      </c>
      <c r="C28" s="33"/>
      <c r="D28" s="72"/>
      <c r="E28" s="9" t="str">
        <f>IF(OR(C28="Yes"),Questions!B46,"")</f>
        <v/>
      </c>
      <c r="F28" s="91" t="str">
        <f>IF(OR(C28="Yes"),'2019 Data'!D24,"")</f>
        <v/>
      </c>
      <c r="G28" s="9" t="str">
        <f>IF(OR(C28="Yes"),Questions!B47,"")</f>
        <v/>
      </c>
      <c r="H28" s="87"/>
      <c r="I28" s="36" t="str">
        <f>IF(OR(C28="Yes"),Questions!B48,"")</f>
        <v/>
      </c>
      <c r="J28" s="50" t="str">
        <f t="shared" si="2"/>
        <v/>
      </c>
    </row>
    <row r="29" spans="1:11" ht="63" hidden="1" customHeight="1" x14ac:dyDescent="0.25">
      <c r="A29" s="253"/>
      <c r="B29" s="60" t="str">
        <f>Questions!B49</f>
        <v>Do you expect a change in the system's interest expenses?</v>
      </c>
      <c r="C29" s="33"/>
      <c r="D29" s="72"/>
      <c r="E29" s="2" t="str">
        <f>IF(OR(C29="Yes"),Questions!B50,"")</f>
        <v/>
      </c>
      <c r="F29" s="89" t="str">
        <f>IF(OR(C29="Yes"),'2019 Data'!D25,"")</f>
        <v/>
      </c>
      <c r="G29" s="2" t="str">
        <f>IF(OR(C29="Yes"),Questions!B51,"")</f>
        <v/>
      </c>
      <c r="H29" s="87"/>
      <c r="I29" s="34" t="str">
        <f>IF(OR(C29="Yes"),Questions!B52,"")</f>
        <v/>
      </c>
      <c r="J29" s="47" t="str">
        <f t="shared" si="2"/>
        <v/>
      </c>
    </row>
    <row r="30" spans="1:11" ht="63" hidden="1" customHeight="1" x14ac:dyDescent="0.25">
      <c r="A30" s="253"/>
      <c r="B30" s="247" t="str">
        <f>Questions!B53</f>
        <v>Have you incurred new expenses as a result of COVID-19?</v>
      </c>
      <c r="C30" s="239"/>
      <c r="D30" s="75"/>
      <c r="E30" s="255" t="str">
        <f>IF(OR(C30="Yes"),Questions!B54,"")</f>
        <v/>
      </c>
      <c r="F30" s="255"/>
      <c r="G30" s="256"/>
      <c r="H30" s="87"/>
      <c r="I30" s="36"/>
      <c r="J30" s="50" t="str">
        <f t="shared" si="2"/>
        <v/>
      </c>
      <c r="K30" s="44"/>
    </row>
    <row r="31" spans="1:11" ht="63" hidden="1" customHeight="1" x14ac:dyDescent="0.25">
      <c r="A31" s="253"/>
      <c r="B31" s="248"/>
      <c r="C31" s="240"/>
      <c r="D31" s="74"/>
      <c r="E31" s="255" t="str">
        <f>IF(OR(C30="Yes"),Questions!B57,"")</f>
        <v/>
      </c>
      <c r="F31" s="255"/>
      <c r="G31" s="256"/>
      <c r="H31" s="87"/>
      <c r="I31" s="36" t="str">
        <f>IF(OR(C31="Yes"),Questions!B51,"")</f>
        <v/>
      </c>
      <c r="J31" s="50" t="str">
        <f>IF(OR(C30="Yes"),SUM(H30-F30),"")</f>
        <v/>
      </c>
      <c r="K31" s="44"/>
    </row>
    <row r="32" spans="1:11" ht="63" hidden="1" customHeight="1" x14ac:dyDescent="0.25">
      <c r="A32" s="253"/>
      <c r="B32" s="62" t="str">
        <f>Questions!B58</f>
        <v>Do you have additional expenses that have not been identified?</v>
      </c>
      <c r="C32" s="33"/>
      <c r="D32" s="72"/>
      <c r="E32" s="10" t="str">
        <f>IF(OR(C32="Yes"),Questions!B59,"")</f>
        <v/>
      </c>
      <c r="F32" s="89" t="str">
        <f>IF(OR(C32="Yes"),'2019 Data'!D26,"")</f>
        <v/>
      </c>
      <c r="G32" s="10" t="str">
        <f>IF(OR(C32="Yes"),Questions!B60,"")</f>
        <v/>
      </c>
      <c r="H32" s="87"/>
      <c r="I32" s="34" t="str">
        <f>IF(OR(C32="Yes"),Questions!B61,"")</f>
        <v/>
      </c>
      <c r="J32" s="47" t="str">
        <f>IF(OR(C32="Yes"),SUM(H32-F32),"")</f>
        <v/>
      </c>
    </row>
    <row r="33" spans="1:11" ht="63" hidden="1" customHeight="1" x14ac:dyDescent="0.25">
      <c r="A33" s="254"/>
      <c r="B33" s="63"/>
      <c r="C33" s="9"/>
      <c r="D33" s="80"/>
      <c r="E33" s="12" t="s">
        <v>2</v>
      </c>
      <c r="F33" s="51">
        <f>SUM(F17:F32)</f>
        <v>0</v>
      </c>
      <c r="G33" s="12" t="s">
        <v>78</v>
      </c>
      <c r="H33" s="51">
        <f>SUM(H17:H32)</f>
        <v>0</v>
      </c>
      <c r="I33" s="26" t="s">
        <v>103</v>
      </c>
      <c r="J33" s="51">
        <f>SUM(J17:J32)</f>
        <v>0</v>
      </c>
    </row>
    <row r="34" spans="1:11" ht="63" customHeight="1" x14ac:dyDescent="0.25">
      <c r="A34" s="43" t="s">
        <v>18</v>
      </c>
      <c r="B34" s="59"/>
      <c r="C34" s="2"/>
      <c r="D34" s="82"/>
      <c r="E34" s="13" t="s">
        <v>3</v>
      </c>
      <c r="F34" s="49">
        <f>F14-F33</f>
        <v>0</v>
      </c>
      <c r="G34" s="14" t="s">
        <v>77</v>
      </c>
      <c r="H34" s="49">
        <f>H14-H33</f>
        <v>0</v>
      </c>
      <c r="I34" s="27" t="s">
        <v>4</v>
      </c>
      <c r="J34" s="49">
        <f>J14-J33</f>
        <v>0</v>
      </c>
    </row>
    <row r="35" spans="1:11" ht="75.75" customHeight="1" x14ac:dyDescent="0.25">
      <c r="A35" s="233" t="s">
        <v>13</v>
      </c>
      <c r="B35" s="81" t="str">
        <f>Questions!C2</f>
        <v>Has there been, or do you expect, a change in Accounts receivable?</v>
      </c>
      <c r="C35" s="33"/>
      <c r="D35" s="72"/>
      <c r="E35" s="113" t="str">
        <f>IF(OR(C35="Yes"),Questions!C13,"")</f>
        <v/>
      </c>
      <c r="F35" s="112" t="str">
        <f>IF(OR(C35="Yes"),'2019 Data'!D28,"")</f>
        <v/>
      </c>
      <c r="G35" s="111" t="str">
        <f>IF(OR(C35="Yes"),Questions!C14,"")</f>
        <v/>
      </c>
      <c r="H35" s="92"/>
      <c r="I35" s="38" t="str">
        <f>IF(OR(C35="Yes"),Questions!C28,"")</f>
        <v/>
      </c>
      <c r="J35" s="52" t="str">
        <f>IF(OR(C35="Yes"),SUM(F35-H35),"")</f>
        <v/>
      </c>
      <c r="K35" s="17"/>
    </row>
    <row r="36" spans="1:11" ht="75.75" customHeight="1" x14ac:dyDescent="0.25">
      <c r="A36" s="234"/>
      <c r="B36" s="96" t="str">
        <f>Questions!C3</f>
        <v>Has there been, or do you expect, a change in Accounts payable?</v>
      </c>
      <c r="C36" s="33"/>
      <c r="D36" s="72"/>
      <c r="E36" s="83" t="str">
        <f>IF(OR(C36="Yes"),Questions!C13,"")</f>
        <v/>
      </c>
      <c r="F36" s="93" t="str">
        <f>IF(OR(C36="Yes"),'2019 Data'!D29,"")</f>
        <v/>
      </c>
      <c r="G36" s="31" t="str">
        <f>IF(OR(C36="Yes"),Questions!C14,"")</f>
        <v/>
      </c>
      <c r="H36" s="92"/>
      <c r="I36" s="34" t="str">
        <f>IF(OR(C36="Yes"),Questions!C28,"")</f>
        <v/>
      </c>
      <c r="J36" s="47" t="str">
        <f>IF(OR(C36="Yes"),SUM(H36-F36),"")</f>
        <v/>
      </c>
    </row>
    <row r="37" spans="1:11" ht="75.75" customHeight="1" x14ac:dyDescent="0.25">
      <c r="A37" s="234"/>
      <c r="B37" s="81" t="str">
        <f>Questions!C4</f>
        <v>Will you delay pension fund contributions?</v>
      </c>
      <c r="C37" s="33"/>
      <c r="D37" s="72"/>
      <c r="E37" s="109" t="str">
        <f>IF(OR(C37="Yes"),Questions!C13,"")</f>
        <v/>
      </c>
      <c r="F37" s="110" t="str">
        <f>IF(OR(C37="Yes"),'2019 Data'!D30,"")</f>
        <v/>
      </c>
      <c r="G37" s="111" t="str">
        <f>IF(OR(C37="Yes"),Questions!C14,"")</f>
        <v/>
      </c>
      <c r="H37" s="92"/>
      <c r="I37" s="38" t="str">
        <f>IF(OR(C37="Yes"),Questions!C28,"")</f>
        <v/>
      </c>
      <c r="J37" s="52" t="str">
        <f>IF(OR(C37="Yes"),SUM(F37-H37),"")</f>
        <v/>
      </c>
      <c r="K37" s="44"/>
    </row>
    <row r="38" spans="1:11" ht="75.75" customHeight="1" x14ac:dyDescent="0.25">
      <c r="A38" s="234"/>
      <c r="B38" s="237" t="str">
        <f>Questions!C5</f>
        <v>Are there inter-agency funds transfers that have occurred, or that will occur?</v>
      </c>
      <c r="C38" s="239"/>
      <c r="D38" s="75"/>
      <c r="E38" s="83" t="str">
        <f>IF(OR(C38="Yes"),Questions!C15,"")</f>
        <v/>
      </c>
      <c r="F38" s="93" t="str">
        <f>IF(OR(C38="Yes"),'2019 Data'!D31,"")</f>
        <v/>
      </c>
      <c r="G38" s="31" t="str">
        <f>IF(OR(C38="Yes"),Questions!C16,"")</f>
        <v/>
      </c>
      <c r="H38" s="92"/>
      <c r="I38" s="34" t="str">
        <f>IF(OR(C38="Yes"),Questions!C28,"")</f>
        <v/>
      </c>
      <c r="J38" s="47" t="str">
        <f>IF(OR(C38="Yes"),SUM(F38-H38),"")</f>
        <v/>
      </c>
      <c r="K38" s="44"/>
    </row>
    <row r="39" spans="1:11" ht="75.75" customHeight="1" x14ac:dyDescent="0.25">
      <c r="A39" s="234"/>
      <c r="B39" s="238"/>
      <c r="C39" s="240"/>
      <c r="D39" s="74"/>
      <c r="E39" s="83" t="str">
        <f>IF(OR(C38="Yes"),Questions!C17,"")</f>
        <v/>
      </c>
      <c r="F39" s="93" t="str">
        <f>IF(OR(C38="Yes"),'2019 Data'!D32,"")</f>
        <v/>
      </c>
      <c r="G39" s="31" t="str">
        <f>IF(OR(C38="Yes"),Questions!C18,"")</f>
        <v/>
      </c>
      <c r="H39" s="92"/>
      <c r="I39" s="34" t="str">
        <f>IF(OR(C38="Yes"),Questions!C28,"")</f>
        <v/>
      </c>
      <c r="J39" s="47" t="str">
        <f>IF(OR(C38="Yes"),SUM(H39-F39),"")</f>
        <v/>
      </c>
      <c r="K39" s="44"/>
    </row>
    <row r="40" spans="1:11" ht="75.75" customHeight="1" x14ac:dyDescent="0.25">
      <c r="A40" s="234"/>
      <c r="B40" s="106" t="str">
        <f>Questions!C6</f>
        <v>Has there been, or do you expect, a change in the system's rate structure such as a delay in implementing a rate increase or temporary rate reductions?</v>
      </c>
      <c r="C40" s="33"/>
      <c r="D40" s="72"/>
      <c r="E40" s="58" t="str">
        <f>IF(OR(C40="Yes"),Questions!C19,"")</f>
        <v/>
      </c>
      <c r="F40" s="94" t="str">
        <f>IF(OR(C40="Yes"),'2019 Data'!D33,"")</f>
        <v/>
      </c>
      <c r="G40" s="37" t="str">
        <f>IF(OR(C40="Yes"),Questions!C20,"")</f>
        <v/>
      </c>
      <c r="H40" s="92"/>
      <c r="I40" s="38" t="str">
        <f>IF(OR(C40="Yes"),Questions!C28,"")</f>
        <v/>
      </c>
      <c r="J40" s="52" t="str">
        <f>IF(OR(C40="Yes"),SUM(H40-F40),"")</f>
        <v/>
      </c>
    </row>
    <row r="41" spans="1:11" ht="75.75" customHeight="1" x14ac:dyDescent="0.25">
      <c r="A41" s="234"/>
      <c r="B41" s="105" t="str">
        <f>Questions!C7</f>
        <v>Do you have a rate stabilization fund?</v>
      </c>
      <c r="C41" s="33"/>
      <c r="D41" s="72"/>
      <c r="E41" s="83" t="str">
        <f>IF(OR(C41="Yes"),Questions!C21,"")</f>
        <v/>
      </c>
      <c r="F41" s="93" t="str">
        <f>IF(OR(C41="Yes"),'2019 Data'!D34,"")</f>
        <v/>
      </c>
      <c r="G41" s="31" t="str">
        <f>IF(OR(C41="Yes"),Questions!C22,"")</f>
        <v/>
      </c>
      <c r="H41" s="92"/>
      <c r="I41" s="34" t="str">
        <f>IF(OR(C41="Yes"),Questions!C28,"")</f>
        <v/>
      </c>
      <c r="J41" s="47" t="str">
        <f>IF(OR(C41="Yes"),SUM(H41-F41),"")</f>
        <v/>
      </c>
    </row>
    <row r="42" spans="1:11" ht="75.75" customHeight="1" x14ac:dyDescent="0.25">
      <c r="A42" s="234"/>
      <c r="B42" s="106" t="str">
        <f>Questions!C8</f>
        <v>Has there been, or do you expect, a change in budgeted capital expenditures?</v>
      </c>
      <c r="C42" s="33"/>
      <c r="D42" s="72"/>
      <c r="E42" s="109" t="str">
        <f>IF(OR(C42="Yes"),Questions!C23,"")</f>
        <v/>
      </c>
      <c r="F42" s="110" t="str">
        <f>IF(OR(C42="Yes"),'2019 Data'!D35,"")</f>
        <v/>
      </c>
      <c r="G42" s="37" t="str">
        <f>IF(OR(C42="Yes"),Questions!C24,"")</f>
        <v/>
      </c>
      <c r="H42" s="92"/>
      <c r="I42" s="38" t="str">
        <f>IF(OR(C42="Yes"),Questions!C28,"")</f>
        <v/>
      </c>
      <c r="J42" s="52" t="str">
        <f>IF(OR(C42="Yes"),SUM(F42-H42),"")</f>
        <v/>
      </c>
      <c r="K42" s="44"/>
    </row>
    <row r="43" spans="1:11" ht="75.75" customHeight="1" x14ac:dyDescent="0.25">
      <c r="A43" s="234"/>
      <c r="B43" s="105" t="str">
        <f>Questions!C9</f>
        <v>Are there, or do you expect, a change in expenditures due to delayed construction projects?</v>
      </c>
      <c r="C43" s="33"/>
      <c r="D43" s="72"/>
      <c r="E43" s="231" t="str">
        <f>IF(OR(C43="Yes"),Questions!C25,"")</f>
        <v/>
      </c>
      <c r="F43" s="231"/>
      <c r="G43" s="232"/>
      <c r="H43" s="92"/>
      <c r="I43" s="34" t="str">
        <f>IF(OR(C43="Yes"),Questions!C28,"")</f>
        <v/>
      </c>
      <c r="J43" s="47" t="str">
        <f>IF(OR(C43="Yes"),H43,"")</f>
        <v/>
      </c>
      <c r="K43" s="44"/>
    </row>
    <row r="44" spans="1:11" ht="75.75" customHeight="1" x14ac:dyDescent="0.25">
      <c r="A44" s="234"/>
      <c r="B44" s="106" t="str">
        <f>Questions!C10</f>
        <v>Will you attempt to restructure existing debt?</v>
      </c>
      <c r="C44" s="33"/>
      <c r="D44" s="72"/>
      <c r="E44" s="229" t="str">
        <f>IF(OR(C44="Yes"),Questions!C25,"")</f>
        <v/>
      </c>
      <c r="F44" s="229"/>
      <c r="G44" s="230"/>
      <c r="H44" s="92"/>
      <c r="I44" s="38" t="str">
        <f>IF(OR(C44="Yes"),Questions!C28,"")</f>
        <v/>
      </c>
      <c r="J44" s="52" t="str">
        <f>IF(OR(C44="Yes"),H44,"")</f>
        <v/>
      </c>
      <c r="K44" s="44"/>
    </row>
    <row r="45" spans="1:11" ht="75.75" customHeight="1" x14ac:dyDescent="0.25">
      <c r="A45" s="234"/>
      <c r="B45" s="105" t="str">
        <f>Questions!C11</f>
        <v>Will you incur new debt?</v>
      </c>
      <c r="C45" s="33"/>
      <c r="D45" s="72"/>
      <c r="E45" s="231" t="str">
        <f>IF(OR(C45="Yes"),Questions!C25,"")</f>
        <v/>
      </c>
      <c r="F45" s="231"/>
      <c r="G45" s="232"/>
      <c r="H45" s="92"/>
      <c r="I45" s="114" t="str">
        <f>IF(OR(C45="Yes"),Questions!C28,"")</f>
        <v/>
      </c>
      <c r="J45" s="53" t="str">
        <f>IF(OR(C45="Yes"),H45,"")</f>
        <v/>
      </c>
      <c r="K45" s="44"/>
    </row>
    <row r="46" spans="1:11" ht="75.75" customHeight="1" x14ac:dyDescent="0.25">
      <c r="A46" s="235"/>
      <c r="B46" s="108" t="str">
        <f>Questions!C12</f>
        <v>Do you have available cash on hand?</v>
      </c>
      <c r="C46" s="66"/>
      <c r="D46" s="72"/>
      <c r="E46" s="229" t="str">
        <f>IF(OR(C46="Yes"),Questions!C26,"")</f>
        <v/>
      </c>
      <c r="F46" s="229"/>
      <c r="G46" s="230"/>
      <c r="H46" s="32"/>
      <c r="I46" s="38" t="str">
        <f>IF(OR(C46="Yes"),Questions!C28,"")</f>
        <v/>
      </c>
      <c r="J46" s="52" t="str">
        <f>IF(OR(C46="Yes"),H46,"")</f>
        <v/>
      </c>
      <c r="K46" s="44"/>
    </row>
    <row r="47" spans="1:11" ht="75.75" customHeight="1" x14ac:dyDescent="0.25">
      <c r="A47" s="235"/>
      <c r="B47" s="59" t="s">
        <v>254</v>
      </c>
      <c r="C47" s="33"/>
      <c r="D47" s="72"/>
      <c r="E47" s="231" t="str">
        <f>IF(OR(C47="Yes"),Questions!C27,"")</f>
        <v/>
      </c>
      <c r="F47" s="231"/>
      <c r="G47" s="232"/>
      <c r="H47" s="107"/>
      <c r="I47" s="34" t="str">
        <f>IF(OR(C47="Yes"),Questions!C28,"")</f>
        <v/>
      </c>
      <c r="J47" s="47" t="str">
        <f>IF(OR(C47="Yes"),H47,"")</f>
        <v/>
      </c>
      <c r="K47" s="44"/>
    </row>
    <row r="48" spans="1:11" ht="75.75" customHeight="1" x14ac:dyDescent="0.25">
      <c r="A48" s="236"/>
      <c r="B48" s="61"/>
      <c r="C48" s="85"/>
      <c r="D48" s="58"/>
      <c r="E48" s="84" t="s">
        <v>93</v>
      </c>
      <c r="F48" s="65">
        <f>SUM(F35:F47)</f>
        <v>0</v>
      </c>
      <c r="G48" s="45" t="s">
        <v>98</v>
      </c>
      <c r="H48" s="65">
        <f>SUM(H35:H47)</f>
        <v>0</v>
      </c>
      <c r="I48" s="56" t="s">
        <v>99</v>
      </c>
      <c r="J48" s="57">
        <f>SUM(J35:J47)</f>
        <v>0</v>
      </c>
    </row>
    <row r="49" spans="10:10" x14ac:dyDescent="0.25">
      <c r="J49" s="25"/>
    </row>
  </sheetData>
  <mergeCells count="19">
    <mergeCell ref="C17:C18"/>
    <mergeCell ref="B30:B31"/>
    <mergeCell ref="C30:C31"/>
    <mergeCell ref="A1:J1"/>
    <mergeCell ref="E30:G30"/>
    <mergeCell ref="E31:G31"/>
    <mergeCell ref="A2:A14"/>
    <mergeCell ref="B2:B3"/>
    <mergeCell ref="A15:A33"/>
    <mergeCell ref="B15:B16"/>
    <mergeCell ref="B17:B18"/>
    <mergeCell ref="A35:A48"/>
    <mergeCell ref="B38:B39"/>
    <mergeCell ref="C38:C39"/>
    <mergeCell ref="E44:G44"/>
    <mergeCell ref="E45:G45"/>
    <mergeCell ref="E46:G46"/>
    <mergeCell ref="E43:G43"/>
    <mergeCell ref="E47:G47"/>
  </mergeCells>
  <dataValidations count="1">
    <dataValidation type="list" allowBlank="1" showInputMessage="1" showErrorMessage="1" sqref="C4:C13 C17:C32 C35:C38 C40:C47 F9" xr:uid="{FB745429-6CFB-4F1C-BB24-AE6A3066B5DA}">
      <formula1>"Yes,No"</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3793" r:id="rId4" name="CommandButton1">
          <controlPr defaultSize="0" autoLine="0" r:id="rId5">
            <anchor moveWithCells="1">
              <from>
                <xdr:col>2</xdr:col>
                <xdr:colOff>200025</xdr:colOff>
                <xdr:row>1</xdr:row>
                <xdr:rowOff>95250</xdr:rowOff>
              </from>
              <to>
                <xdr:col>2</xdr:col>
                <xdr:colOff>828675</xdr:colOff>
                <xdr:row>1</xdr:row>
                <xdr:rowOff>666750</xdr:rowOff>
              </to>
            </anchor>
          </controlPr>
        </control>
      </mc:Choice>
      <mc:Fallback>
        <control shapeId="33793" r:id="rId4" name="CommandButton1"/>
      </mc:Fallback>
    </mc:AlternateContent>
    <mc:AlternateContent xmlns:mc="http://schemas.openxmlformats.org/markup-compatibility/2006">
      <mc:Choice Requires="x14">
        <control shapeId="33794" r:id="rId6" name="CommandButton2">
          <controlPr defaultSize="0" autoLine="0" r:id="rId7">
            <anchor moveWithCells="1">
              <from>
                <xdr:col>2</xdr:col>
                <xdr:colOff>200025</xdr:colOff>
                <xdr:row>2</xdr:row>
                <xdr:rowOff>85725</xdr:rowOff>
              </from>
              <to>
                <xdr:col>2</xdr:col>
                <xdr:colOff>809625</xdr:colOff>
                <xdr:row>2</xdr:row>
                <xdr:rowOff>647700</xdr:rowOff>
              </to>
            </anchor>
          </controlPr>
        </control>
      </mc:Choice>
      <mc:Fallback>
        <control shapeId="33794" r:id="rId6" name="CommandButton2"/>
      </mc:Fallback>
    </mc:AlternateContent>
    <mc:AlternateContent xmlns:mc="http://schemas.openxmlformats.org/markup-compatibility/2006">
      <mc:Choice Requires="x14">
        <control shapeId="33795" r:id="rId8" name="CommandButton3">
          <controlPr defaultSize="0" autoLine="0" r:id="rId9">
            <anchor moveWithCells="1">
              <from>
                <xdr:col>2</xdr:col>
                <xdr:colOff>180975</xdr:colOff>
                <xdr:row>14</xdr:row>
                <xdr:rowOff>133350</xdr:rowOff>
              </from>
              <to>
                <xdr:col>2</xdr:col>
                <xdr:colOff>800100</xdr:colOff>
                <xdr:row>14</xdr:row>
                <xdr:rowOff>695325</xdr:rowOff>
              </to>
            </anchor>
          </controlPr>
        </control>
      </mc:Choice>
      <mc:Fallback>
        <control shapeId="33795" r:id="rId8" name="CommandButton3"/>
      </mc:Fallback>
    </mc:AlternateContent>
    <mc:AlternateContent xmlns:mc="http://schemas.openxmlformats.org/markup-compatibility/2006">
      <mc:Choice Requires="x14">
        <control shapeId="33796" r:id="rId10" name="CommandButton4">
          <controlPr defaultSize="0" autoLine="0" r:id="rId11">
            <anchor moveWithCells="1">
              <from>
                <xdr:col>2</xdr:col>
                <xdr:colOff>190500</xdr:colOff>
                <xdr:row>15</xdr:row>
                <xdr:rowOff>114300</xdr:rowOff>
              </from>
              <to>
                <xdr:col>2</xdr:col>
                <xdr:colOff>809625</xdr:colOff>
                <xdr:row>15</xdr:row>
                <xdr:rowOff>666750</xdr:rowOff>
              </to>
            </anchor>
          </controlPr>
        </control>
      </mc:Choice>
      <mc:Fallback>
        <control shapeId="33796" r:id="rId10" name="CommandButton4"/>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9DB94-4DAE-44C1-B9BE-F345F2892095}">
  <sheetPr codeName="Sheet10">
    <tabColor theme="4" tint="-0.499984740745262"/>
  </sheetPr>
  <dimension ref="A1:K49"/>
  <sheetViews>
    <sheetView zoomScaleNormal="100" workbookViewId="0">
      <pane ySplit="1" topLeftCell="A2" activePane="bottomLeft" state="frozen"/>
      <selection activeCell="K3" sqref="K3"/>
      <selection pane="bottomLeft" activeCell="A2" sqref="A2:A14"/>
    </sheetView>
  </sheetViews>
  <sheetFormatPr defaultColWidth="9.140625" defaultRowHeight="15" x14ac:dyDescent="0.25"/>
  <cols>
    <col min="1" max="1" width="10.7109375" style="15" customWidth="1"/>
    <col min="2" max="2" width="28.140625" style="16" customWidth="1"/>
    <col min="3" max="3" width="14" style="17" customWidth="1"/>
    <col min="4" max="4" width="2.7109375" style="4" customWidth="1"/>
    <col min="5" max="5" width="28.42578125" style="17" customWidth="1"/>
    <col min="6" max="6" width="17.7109375" style="18" customWidth="1"/>
    <col min="7" max="7" width="31.140625" style="17" customWidth="1"/>
    <col min="8" max="8" width="17.7109375" style="18" customWidth="1"/>
    <col min="9" max="9" width="23.140625" style="25" customWidth="1"/>
    <col min="10" max="10" width="17.7109375" style="19" customWidth="1"/>
    <col min="11" max="11" width="22.7109375" style="4" bestFit="1" customWidth="1"/>
    <col min="12" max="16384" width="9.140625" style="4"/>
  </cols>
  <sheetData>
    <row r="1" spans="1:10" s="1" customFormat="1" ht="27.75" customHeight="1" thickTop="1" x14ac:dyDescent="0.25">
      <c r="A1" s="241" t="s">
        <v>170</v>
      </c>
      <c r="B1" s="242"/>
      <c r="C1" s="242"/>
      <c r="D1" s="242"/>
      <c r="E1" s="242"/>
      <c r="F1" s="242"/>
      <c r="G1" s="242"/>
      <c r="H1" s="242"/>
      <c r="I1" s="242"/>
      <c r="J1" s="242"/>
    </row>
    <row r="2" spans="1:10" ht="63" customHeight="1" x14ac:dyDescent="0.25">
      <c r="A2" s="249" t="s">
        <v>1</v>
      </c>
      <c r="B2" s="243" t="s">
        <v>11</v>
      </c>
      <c r="C2" s="66"/>
      <c r="D2" s="75"/>
      <c r="E2" s="2"/>
      <c r="F2" s="3"/>
      <c r="G2" s="2"/>
      <c r="H2" s="3"/>
      <c r="I2" s="24"/>
      <c r="J2" s="53"/>
    </row>
    <row r="3" spans="1:10" ht="63" customHeight="1" x14ac:dyDescent="0.25">
      <c r="A3" s="250"/>
      <c r="B3" s="244"/>
      <c r="C3" s="68"/>
      <c r="D3" s="76"/>
      <c r="E3" s="73" t="s">
        <v>87</v>
      </c>
      <c r="F3" s="11"/>
      <c r="G3" s="10"/>
      <c r="H3" s="11"/>
      <c r="I3" s="54"/>
      <c r="J3" s="55"/>
    </row>
    <row r="4" spans="1:10" ht="63" hidden="1" customHeight="1" x14ac:dyDescent="0.25">
      <c r="A4" s="250"/>
      <c r="B4" s="42" t="str">
        <f>Questions!A2</f>
        <v>Have commercial/industrial revenues been impacted?</v>
      </c>
      <c r="C4" s="68"/>
      <c r="D4" s="74"/>
      <c r="E4" s="30" t="str">
        <f>IF(OR(C4="Yes"),Questions!A3,"")</f>
        <v/>
      </c>
      <c r="F4" s="88" t="str">
        <f>IF(OR(C4="Yes"),'2019 Data'!D3,"")</f>
        <v/>
      </c>
      <c r="G4" s="30" t="str">
        <f>IF(OR(C4="Yes"),Questions!A4,"")</f>
        <v/>
      </c>
      <c r="H4" s="86"/>
      <c r="I4" s="70" t="str">
        <f>IF(OR(C4="Yes"),Questions!A5,"")</f>
        <v/>
      </c>
      <c r="J4" s="71" t="str">
        <f t="shared" ref="J4:J13" si="0">IF(OR(C4="Yes"),SUM(H4-F4),"")</f>
        <v/>
      </c>
    </row>
    <row r="5" spans="1:10" ht="63" hidden="1" customHeight="1" x14ac:dyDescent="0.25">
      <c r="A5" s="250"/>
      <c r="B5" s="60" t="str">
        <f>Questions!A6</f>
        <v>Have residential revenues been impacted?</v>
      </c>
      <c r="C5" s="33"/>
      <c r="D5" s="74"/>
      <c r="E5" s="6" t="str">
        <f>IF(OR(C5="Yes"),Questions!A7,"")</f>
        <v/>
      </c>
      <c r="F5" s="89" t="str">
        <f>IF(OR(C5="Yes"),'2019 Data'!D4,"")</f>
        <v/>
      </c>
      <c r="G5" s="6" t="str">
        <f>IF(OR(C5="Yes"),Questions!A8,"")</f>
        <v/>
      </c>
      <c r="H5" s="87"/>
      <c r="I5" s="34" t="str">
        <f>IF(OR(C5="Yes"),Questions!A9,"")</f>
        <v/>
      </c>
      <c r="J5" s="47" t="str">
        <f t="shared" si="0"/>
        <v/>
      </c>
    </row>
    <row r="6" spans="1:10" ht="63" hidden="1" customHeight="1" x14ac:dyDescent="0.25">
      <c r="A6" s="250"/>
      <c r="B6" s="42" t="str">
        <f>Questions!A10</f>
        <v>Do you sell wholesale water/wastewater treatment?</v>
      </c>
      <c r="C6" s="33"/>
      <c r="D6" s="74"/>
      <c r="E6" s="5" t="str">
        <f>IF(OR(C6="Yes"),Questions!A11,"")</f>
        <v/>
      </c>
      <c r="F6" s="88" t="str">
        <f>IF(OR(C6="Yes"),'2019 Data'!D5,"")</f>
        <v/>
      </c>
      <c r="G6" s="5" t="str">
        <f>IF(OR(C6="Yes"),Questions!A12,"")</f>
        <v/>
      </c>
      <c r="H6" s="87"/>
      <c r="I6" s="35" t="str">
        <f>IF(OR(C6="Yes"),Questions!A13,"")</f>
        <v/>
      </c>
      <c r="J6" s="46" t="str">
        <f t="shared" si="0"/>
        <v/>
      </c>
    </row>
    <row r="7" spans="1:10" ht="63" hidden="1" customHeight="1" x14ac:dyDescent="0.25">
      <c r="A7" s="250"/>
      <c r="B7" s="60" t="str">
        <f>Questions!A14</f>
        <v>Do you charge connection/tap fees?</v>
      </c>
      <c r="C7" s="33"/>
      <c r="D7" s="74"/>
      <c r="E7" s="6" t="str">
        <f>IF(OR(C7="Yes"),Questions!A15,"")</f>
        <v/>
      </c>
      <c r="F7" s="89" t="str">
        <f>IF(OR(C7="Yes"),'2019 Data'!D6,"")</f>
        <v/>
      </c>
      <c r="G7" s="6" t="str">
        <f>IF(OR(C7="Yes"),Questions!A16,"")</f>
        <v/>
      </c>
      <c r="H7" s="87"/>
      <c r="I7" s="34" t="str">
        <f>IF(OR(C7="Yes"),Questions!A17,"")</f>
        <v/>
      </c>
      <c r="J7" s="47" t="str">
        <f t="shared" si="0"/>
        <v/>
      </c>
    </row>
    <row r="8" spans="1:10" ht="63" hidden="1" customHeight="1" x14ac:dyDescent="0.25">
      <c r="A8" s="250"/>
      <c r="B8" s="42" t="str">
        <f>Questions!A18</f>
        <v>Are you suspending late fees?</v>
      </c>
      <c r="C8" s="33"/>
      <c r="D8" s="74"/>
      <c r="E8" s="5" t="str">
        <f>IF(OR(C8="Yes"),Questions!A19,"")</f>
        <v/>
      </c>
      <c r="F8" s="88" t="str">
        <f>IF(OR(C8="Yes"),'2019 Data'!D7,"")</f>
        <v/>
      </c>
      <c r="G8" s="5" t="str">
        <f>IF(OR(C8="Yes"),Questions!A20,"")</f>
        <v/>
      </c>
      <c r="H8" s="87"/>
      <c r="I8" s="35" t="str">
        <f>IF(OR(C8="Yes"),Questions!A21,"")</f>
        <v/>
      </c>
      <c r="J8" s="46" t="str">
        <f t="shared" si="0"/>
        <v/>
      </c>
    </row>
    <row r="9" spans="1:10" ht="63" hidden="1" customHeight="1" x14ac:dyDescent="0.25">
      <c r="A9" s="250"/>
      <c r="B9" s="95" t="str">
        <f>Questions!A22</f>
        <v>Are you suspending shutoffs?</v>
      </c>
      <c r="C9" s="33"/>
      <c r="D9" s="74"/>
      <c r="E9" s="6" t="str">
        <f>IF(OR(C9="Yes"),Questions!A23,"")</f>
        <v/>
      </c>
      <c r="F9" s="115"/>
      <c r="G9" s="6" t="str">
        <f>IF(OR(F9="Yes"),Questions!A24,"")</f>
        <v/>
      </c>
      <c r="H9" s="87"/>
      <c r="I9" s="34" t="str">
        <f>IF(OR(F9="Yes"),Questions!A25,"")</f>
        <v/>
      </c>
      <c r="J9" s="47" t="str">
        <f>IF(OR(F9="Yes"),-H9,"")</f>
        <v/>
      </c>
    </row>
    <row r="10" spans="1:10" ht="63" hidden="1" customHeight="1" x14ac:dyDescent="0.25">
      <c r="A10" s="250"/>
      <c r="B10" s="42" t="str">
        <f>Questions!A26</f>
        <v>Does your system receive tax revenue either directly or from a parent agency?</v>
      </c>
      <c r="C10" s="33"/>
      <c r="D10" s="74"/>
      <c r="E10" s="5" t="str">
        <f>IF(OR(C10="Yes"),Questions!A27,"")</f>
        <v/>
      </c>
      <c r="F10" s="88" t="str">
        <f>IF(OR(C10="Yes"),'2019 Data'!D8,"")</f>
        <v/>
      </c>
      <c r="G10" s="29" t="str">
        <f>IF(OR(C10="Yes"),Questions!A28,"")</f>
        <v/>
      </c>
      <c r="H10" s="87"/>
      <c r="I10" s="35" t="str">
        <f>IF(OR(C10="Yes"),Questions!A29,"")</f>
        <v/>
      </c>
      <c r="J10" s="46" t="str">
        <f t="shared" si="0"/>
        <v/>
      </c>
    </row>
    <row r="11" spans="1:10" ht="63" hidden="1" customHeight="1" x14ac:dyDescent="0.25">
      <c r="A11" s="250"/>
      <c r="B11" s="60" t="str">
        <f>Questions!A30</f>
        <v>Do you sell byproducts (e.g., biosolids, electricity, etc.)?</v>
      </c>
      <c r="C11" s="33"/>
      <c r="D11" s="74"/>
      <c r="E11" s="6" t="str">
        <f>IF(OR(C11="Yes"),Questions!A31,"")</f>
        <v/>
      </c>
      <c r="F11" s="89" t="str">
        <f>IF(OR(C11="Yes"),'2019 Data'!D9,"")</f>
        <v/>
      </c>
      <c r="G11" s="83" t="str">
        <f>IF(OR(C11="Yes"),Questions!A32,"")</f>
        <v/>
      </c>
      <c r="H11" s="87"/>
      <c r="I11" s="34" t="str">
        <f>IF(OR(C11="Yes"),Questions!A33,"")</f>
        <v/>
      </c>
      <c r="J11" s="47" t="str">
        <f t="shared" si="0"/>
        <v/>
      </c>
    </row>
    <row r="12" spans="1:10" ht="63" hidden="1" customHeight="1" x14ac:dyDescent="0.25">
      <c r="A12" s="250"/>
      <c r="B12" s="42" t="str">
        <f>Questions!A34</f>
        <v>Do you generate interest income from cash on hand?</v>
      </c>
      <c r="C12" s="33"/>
      <c r="D12" s="74"/>
      <c r="E12" s="5" t="str">
        <f>IF(OR(C12="Yes"),Questions!A35,"")</f>
        <v/>
      </c>
      <c r="F12" s="88" t="str">
        <f>IF(OR(C12="Yes"),'2019 Data'!D10,"")</f>
        <v/>
      </c>
      <c r="G12" s="30" t="str">
        <f>IF(OR(C12="Yes"),Questions!A36,"")</f>
        <v/>
      </c>
      <c r="H12" s="87"/>
      <c r="I12" s="35" t="str">
        <f>IF(OR(C12="Yes"),Questions!A37,"")</f>
        <v/>
      </c>
      <c r="J12" s="46" t="str">
        <f t="shared" si="0"/>
        <v/>
      </c>
    </row>
    <row r="13" spans="1:10" ht="63" hidden="1" customHeight="1" x14ac:dyDescent="0.25">
      <c r="A13" s="250"/>
      <c r="B13" s="62" t="str">
        <f>Questions!A38</f>
        <v>Do you have additional revenue streams that have not been identified?</v>
      </c>
      <c r="C13" s="66"/>
      <c r="D13" s="77"/>
      <c r="E13" s="7" t="str">
        <f>IF(OR(C13="Yes"),Questions!A39,"")</f>
        <v/>
      </c>
      <c r="F13" s="90" t="str">
        <f>IF(OR(C13="Yes"),'2019 Data'!D11,"")</f>
        <v/>
      </c>
      <c r="G13" s="6" t="str">
        <f>IF(OR(C13="Yes"),Questions!A40,"")</f>
        <v/>
      </c>
      <c r="H13" s="87"/>
      <c r="I13" s="34" t="str">
        <f>IF(OR(C13="Yes"),Questions!A41,"")</f>
        <v/>
      </c>
      <c r="J13" s="47" t="str">
        <f t="shared" si="0"/>
        <v/>
      </c>
    </row>
    <row r="14" spans="1:10" ht="63" hidden="1" customHeight="1" x14ac:dyDescent="0.25">
      <c r="A14" s="251"/>
      <c r="B14" s="78"/>
      <c r="C14" s="29"/>
      <c r="D14" s="79"/>
      <c r="E14" s="8" t="s">
        <v>0</v>
      </c>
      <c r="F14" s="48">
        <f>SUM(F2:F13)</f>
        <v>0</v>
      </c>
      <c r="G14" s="8" t="s">
        <v>102</v>
      </c>
      <c r="H14" s="48">
        <f>SUM(H2:H13)</f>
        <v>0</v>
      </c>
      <c r="I14" s="28" t="s">
        <v>100</v>
      </c>
      <c r="J14" s="48">
        <f>SUM(J2:J13)</f>
        <v>0</v>
      </c>
    </row>
    <row r="15" spans="1:10" ht="63" customHeight="1" x14ac:dyDescent="0.25">
      <c r="A15" s="252" t="s">
        <v>9</v>
      </c>
      <c r="B15" s="245" t="s">
        <v>298</v>
      </c>
      <c r="C15" s="66"/>
      <c r="D15" s="75"/>
      <c r="E15" s="2"/>
      <c r="F15" s="3"/>
      <c r="G15" s="2"/>
      <c r="H15" s="3"/>
      <c r="I15" s="24"/>
      <c r="J15" s="53"/>
    </row>
    <row r="16" spans="1:10" ht="63" customHeight="1" x14ac:dyDescent="0.25">
      <c r="A16" s="253"/>
      <c r="B16" s="246"/>
      <c r="C16" s="67"/>
      <c r="D16" s="77"/>
      <c r="E16" s="98" t="s">
        <v>245</v>
      </c>
      <c r="F16" s="11"/>
      <c r="G16" s="10"/>
      <c r="H16" s="11"/>
      <c r="I16" s="54"/>
      <c r="J16" s="55"/>
    </row>
    <row r="17" spans="1:11" ht="63" hidden="1" customHeight="1" x14ac:dyDescent="0.25">
      <c r="A17" s="253"/>
      <c r="B17" s="247" t="str">
        <f>Questions!B2</f>
        <v>Have your labor costs, regular and overtime, changed?</v>
      </c>
      <c r="C17" s="239"/>
      <c r="D17" s="75"/>
      <c r="E17" s="9" t="str">
        <f>IF(OR(C17="Yes"),Questions!B3,"")</f>
        <v/>
      </c>
      <c r="F17" s="91" t="str">
        <f>IF(OR(C17="Yes"),'2019 Data'!D13,"")</f>
        <v/>
      </c>
      <c r="G17" s="9" t="str">
        <f>IF(OR(C17="Yes"),Questions!B4,"")</f>
        <v/>
      </c>
      <c r="H17" s="87"/>
      <c r="I17" s="36" t="str">
        <f>IF(OR(C17="Yes"),Questions!B5,"")</f>
        <v/>
      </c>
      <c r="J17" s="50" t="str">
        <f>IF(OR(C17="Yes"),SUM(H17-F17),"")</f>
        <v/>
      </c>
    </row>
    <row r="18" spans="1:11" ht="63" hidden="1" customHeight="1" x14ac:dyDescent="0.25">
      <c r="A18" s="253"/>
      <c r="B18" s="248"/>
      <c r="C18" s="240"/>
      <c r="D18" s="77"/>
      <c r="E18" s="9" t="str">
        <f>IF(OR(C17="Yes"),Questions!B6,"")</f>
        <v/>
      </c>
      <c r="F18" s="91" t="str">
        <f>IF(OR(C17="Yes"),'2019 Data'!D14,"")</f>
        <v/>
      </c>
      <c r="G18" s="9" t="str">
        <f>IF(OR(C17="Yes"),Questions!B7,"")</f>
        <v/>
      </c>
      <c r="H18" s="87"/>
      <c r="I18" s="36" t="str">
        <f>IF(OR(C17="Yes"),Questions!B8,"")</f>
        <v/>
      </c>
      <c r="J18" s="50" t="str">
        <f>IF(OR(C17="Yes"),SUM(H18-F18),"")</f>
        <v/>
      </c>
    </row>
    <row r="19" spans="1:11" ht="63" hidden="1" customHeight="1" x14ac:dyDescent="0.25">
      <c r="A19" s="253"/>
      <c r="B19" s="95" t="str">
        <f>Questions!B9</f>
        <v>Do you purchase water for resale?</v>
      </c>
      <c r="C19" s="33"/>
      <c r="D19" s="72"/>
      <c r="E19" s="10" t="str">
        <f>IF(OR(C19="Yes"),Questions!B10,"")</f>
        <v/>
      </c>
      <c r="F19" s="89" t="str">
        <f>IF(OR(C19="Yes"),'2019 Data'!D15,"")</f>
        <v/>
      </c>
      <c r="G19" s="10" t="str">
        <f>IF(OR(C19="Yes"),Questions!B11,"")</f>
        <v/>
      </c>
      <c r="H19" s="87"/>
      <c r="I19" s="34" t="str">
        <f>IF(OR(C19="Yes"),Questions!B12,"")</f>
        <v/>
      </c>
      <c r="J19" s="47" t="str">
        <f t="shared" ref="J19:J22" si="1">IF(OR(C19="Yes"),SUM(H19-F19),"")</f>
        <v/>
      </c>
    </row>
    <row r="20" spans="1:11" ht="63" hidden="1" customHeight="1" x14ac:dyDescent="0.25">
      <c r="A20" s="253"/>
      <c r="B20" s="97" t="s">
        <v>193</v>
      </c>
      <c r="C20" s="33"/>
      <c r="D20" s="72"/>
      <c r="E20" s="69" t="str">
        <f>IF(OR(C20="Yes"),Questions!B14,"")</f>
        <v/>
      </c>
      <c r="F20" s="91" t="str">
        <f>IF(OR(C20="Yes"),'2019 Data'!D16,"")</f>
        <v/>
      </c>
      <c r="G20" s="69" t="str">
        <f>IF(OR(C20="Yes"),Questions!B15,"")</f>
        <v/>
      </c>
      <c r="H20" s="87"/>
      <c r="I20" s="36" t="str">
        <f>IF(OR(C20="Yes"),Questions!B16,"")</f>
        <v/>
      </c>
      <c r="J20" s="50" t="str">
        <f t="shared" si="1"/>
        <v/>
      </c>
    </row>
    <row r="21" spans="1:11" ht="63" hidden="1" customHeight="1" x14ac:dyDescent="0.25">
      <c r="A21" s="253"/>
      <c r="B21" s="95" t="str">
        <f>Questions!B17</f>
        <v>Have your chemical usages changed?</v>
      </c>
      <c r="C21" s="33"/>
      <c r="D21" s="72"/>
      <c r="E21" s="6" t="str">
        <f>IF(OR(C21="Yes"),Questions!B18,"")</f>
        <v/>
      </c>
      <c r="F21" s="89" t="str">
        <f>IF(OR(C21="Yes"),'2019 Data'!D17,"")</f>
        <v/>
      </c>
      <c r="G21" s="6" t="str">
        <f>IF(OR(C21="Yes"),Questions!B19,"")</f>
        <v/>
      </c>
      <c r="H21" s="87"/>
      <c r="I21" s="34" t="str">
        <f>IF(OR(C21="Yes"),Questions!B20,"")</f>
        <v/>
      </c>
      <c r="J21" s="47" t="str">
        <f t="shared" si="1"/>
        <v/>
      </c>
    </row>
    <row r="22" spans="1:11" ht="63" hidden="1" customHeight="1" x14ac:dyDescent="0.25">
      <c r="A22" s="253"/>
      <c r="B22" s="97" t="str">
        <f>Questions!B21</f>
        <v>Have your disposal costs changed?</v>
      </c>
      <c r="C22" s="33"/>
      <c r="D22" s="72"/>
      <c r="E22" s="9" t="str">
        <f>IF(OR(C22="Yes"),Questions!B22,"")</f>
        <v/>
      </c>
      <c r="F22" s="91" t="str">
        <f>IF(OR(C22="Yes"),'2019 Data'!D18,"")</f>
        <v/>
      </c>
      <c r="G22" s="9" t="str">
        <f>IF(OR(C22="Yes"),Questions!B23,"")</f>
        <v/>
      </c>
      <c r="H22" s="87"/>
      <c r="I22" s="36" t="str">
        <f>IF(OR(C22="Yes"),Questions!B24,"")</f>
        <v/>
      </c>
      <c r="J22" s="50" t="str">
        <f t="shared" si="1"/>
        <v/>
      </c>
    </row>
    <row r="23" spans="1:11" ht="63" hidden="1" customHeight="1" x14ac:dyDescent="0.25">
      <c r="A23" s="253"/>
      <c r="B23" s="60" t="str">
        <f>Questions!B25</f>
        <v>Have your testing expenses changed?</v>
      </c>
      <c r="C23" s="33"/>
      <c r="D23" s="72"/>
      <c r="E23" s="6" t="str">
        <f>IF(OR(C23="Yes"),Questions!B26,"")</f>
        <v/>
      </c>
      <c r="F23" s="89" t="str">
        <f>IF(OR(C23="Yes"),'2019 Data'!D19,"")</f>
        <v/>
      </c>
      <c r="G23" s="6" t="str">
        <f>IF(OR(C23="Yes"),Questions!B27,"")</f>
        <v/>
      </c>
      <c r="H23" s="87"/>
      <c r="I23" s="34" t="str">
        <f>IF(OR(C23="Yes"),Questions!B28,"")</f>
        <v/>
      </c>
      <c r="J23" s="47" t="str">
        <f t="shared" ref="J23:J30" si="2">IF(OR(C23="Yes"),SUM(H23-F23),"")</f>
        <v/>
      </c>
    </row>
    <row r="24" spans="1:11" ht="63" hidden="1" customHeight="1" x14ac:dyDescent="0.25">
      <c r="A24" s="253"/>
      <c r="B24" s="64" t="str">
        <f>Questions!B29</f>
        <v>Has there been a change in the system's energy bill?</v>
      </c>
      <c r="C24" s="33"/>
      <c r="D24" s="72"/>
      <c r="E24" s="9" t="str">
        <f>IF(OR(C24="Yes"),Questions!B30,"")</f>
        <v/>
      </c>
      <c r="F24" s="91" t="str">
        <f>IF(OR(C24="Yes"),'2019 Data'!D20,"")</f>
        <v/>
      </c>
      <c r="G24" s="9" t="str">
        <f>IF(OR(C24="Yes"),Questions!B31,"")</f>
        <v/>
      </c>
      <c r="H24" s="87"/>
      <c r="I24" s="36" t="str">
        <f>IF(OR(C24="Yes"),Questions!B32,"")</f>
        <v/>
      </c>
      <c r="J24" s="50" t="str">
        <f t="shared" si="2"/>
        <v/>
      </c>
    </row>
    <row r="25" spans="1:11" ht="63" hidden="1" customHeight="1" x14ac:dyDescent="0.25">
      <c r="A25" s="253"/>
      <c r="B25" s="60" t="str">
        <f>Questions!B33</f>
        <v>Has there been a change in the system's other utility services?</v>
      </c>
      <c r="C25" s="33"/>
      <c r="D25" s="72"/>
      <c r="E25" s="7" t="str">
        <f>IF(OR(C25="Yes"),Questions!B34,"")</f>
        <v/>
      </c>
      <c r="F25" s="90" t="str">
        <f>IF(OR(C25="Yes"),'2019 Data'!D21,"")</f>
        <v/>
      </c>
      <c r="G25" s="6" t="str">
        <f>IF(OR(C25="Yes"),Questions!B35,"")</f>
        <v/>
      </c>
      <c r="H25" s="87"/>
      <c r="I25" s="34" t="str">
        <f>IF(OR(C25="Yes"),Questions!B36,"")</f>
        <v/>
      </c>
      <c r="J25" s="47" t="str">
        <f t="shared" si="2"/>
        <v/>
      </c>
    </row>
    <row r="26" spans="1:11" ht="63" hidden="1" customHeight="1" x14ac:dyDescent="0.25">
      <c r="A26" s="253"/>
      <c r="B26" s="64" t="str">
        <f>Questions!B37</f>
        <v>Has there been a change in use of supplies (supply chains)?</v>
      </c>
      <c r="C26" s="33"/>
      <c r="D26" s="72"/>
      <c r="E26" s="9" t="str">
        <f>IF(OR(C26="Yes"),Questions!B38,"")</f>
        <v/>
      </c>
      <c r="F26" s="91" t="str">
        <f>IF(OR(C26="Yes"),'2019 Data'!D22,"")</f>
        <v/>
      </c>
      <c r="G26" s="9" t="str">
        <f>IF(OR(C26="Yes"),Questions!B39,"")</f>
        <v/>
      </c>
      <c r="H26" s="87"/>
      <c r="I26" s="36" t="str">
        <f>IF(OR(C26="Yes"),Questions!B40,"")</f>
        <v/>
      </c>
      <c r="J26" s="50" t="str">
        <f t="shared" si="2"/>
        <v/>
      </c>
    </row>
    <row r="27" spans="1:11" ht="63" hidden="1" customHeight="1" x14ac:dyDescent="0.25">
      <c r="A27" s="253"/>
      <c r="B27" s="60" t="str">
        <f>Questions!B41</f>
        <v>Has there been a change in supplying uniforms/attire?</v>
      </c>
      <c r="C27" s="33"/>
      <c r="D27" s="72"/>
      <c r="E27" s="6" t="str">
        <f>IF(OR(C27="Yes"),Questions!B42,"")</f>
        <v/>
      </c>
      <c r="F27" s="89" t="str">
        <f>IF(OR(C27="Yes"),'2019 Data'!D23,"")</f>
        <v/>
      </c>
      <c r="G27" s="6" t="str">
        <f>IF(OR(C27="Yes"),Questions!B43,"")</f>
        <v/>
      </c>
      <c r="H27" s="87"/>
      <c r="I27" s="34" t="str">
        <f>IF(OR(C27="Yes"),Questions!B44,"")</f>
        <v/>
      </c>
      <c r="J27" s="47" t="str">
        <f t="shared" si="2"/>
        <v/>
      </c>
    </row>
    <row r="28" spans="1:11" ht="63" hidden="1" customHeight="1" x14ac:dyDescent="0.25">
      <c r="A28" s="253"/>
      <c r="B28" s="64" t="str">
        <f>Questions!B45</f>
        <v>Has there been a change in supplying Personal Protection Equipment (PPE) or other materials, such as cloth masks?</v>
      </c>
      <c r="C28" s="33"/>
      <c r="D28" s="72"/>
      <c r="E28" s="9" t="str">
        <f>IF(OR(C28="Yes"),Questions!B46,"")</f>
        <v/>
      </c>
      <c r="F28" s="91" t="str">
        <f>IF(OR(C28="Yes"),'2019 Data'!D24,"")</f>
        <v/>
      </c>
      <c r="G28" s="9" t="str">
        <f>IF(OR(C28="Yes"),Questions!B47,"")</f>
        <v/>
      </c>
      <c r="H28" s="87"/>
      <c r="I28" s="36" t="str">
        <f>IF(OR(C28="Yes"),Questions!B48,"")</f>
        <v/>
      </c>
      <c r="J28" s="50" t="str">
        <f t="shared" si="2"/>
        <v/>
      </c>
    </row>
    <row r="29" spans="1:11" ht="63" hidden="1" customHeight="1" x14ac:dyDescent="0.25">
      <c r="A29" s="253"/>
      <c r="B29" s="60" t="str">
        <f>Questions!B49</f>
        <v>Do you expect a change in the system's interest expenses?</v>
      </c>
      <c r="C29" s="33"/>
      <c r="D29" s="72"/>
      <c r="E29" s="2" t="str">
        <f>IF(OR(C29="Yes"),Questions!B50,"")</f>
        <v/>
      </c>
      <c r="F29" s="89" t="str">
        <f>IF(OR(C29="Yes"),'2019 Data'!D25,"")</f>
        <v/>
      </c>
      <c r="G29" s="2" t="str">
        <f>IF(OR(C29="Yes"),Questions!B51,"")</f>
        <v/>
      </c>
      <c r="H29" s="87"/>
      <c r="I29" s="34" t="str">
        <f>IF(OR(C29="Yes"),Questions!B52,"")</f>
        <v/>
      </c>
      <c r="J29" s="47" t="str">
        <f t="shared" si="2"/>
        <v/>
      </c>
    </row>
    <row r="30" spans="1:11" ht="63" hidden="1" customHeight="1" x14ac:dyDescent="0.25">
      <c r="A30" s="253"/>
      <c r="B30" s="247" t="str">
        <f>Questions!B53</f>
        <v>Have you incurred new expenses as a result of COVID-19?</v>
      </c>
      <c r="C30" s="239"/>
      <c r="D30" s="75"/>
      <c r="E30" s="255" t="str">
        <f>IF(OR(C30="Yes"),Questions!B54,"")</f>
        <v/>
      </c>
      <c r="F30" s="255"/>
      <c r="G30" s="256"/>
      <c r="H30" s="87"/>
      <c r="I30" s="36"/>
      <c r="J30" s="50" t="str">
        <f t="shared" si="2"/>
        <v/>
      </c>
      <c r="K30" s="44"/>
    </row>
    <row r="31" spans="1:11" ht="63" hidden="1" customHeight="1" x14ac:dyDescent="0.25">
      <c r="A31" s="253"/>
      <c r="B31" s="248"/>
      <c r="C31" s="240"/>
      <c r="D31" s="74"/>
      <c r="E31" s="255" t="str">
        <f>IF(OR(C30="Yes"),Questions!B57,"")</f>
        <v/>
      </c>
      <c r="F31" s="255"/>
      <c r="G31" s="256"/>
      <c r="H31" s="87"/>
      <c r="I31" s="36" t="str">
        <f>IF(OR(C31="Yes"),Questions!B51,"")</f>
        <v/>
      </c>
      <c r="J31" s="50" t="str">
        <f>IF(OR(C30="Yes"),SUM(H30-F30),"")</f>
        <v/>
      </c>
      <c r="K31" s="44"/>
    </row>
    <row r="32" spans="1:11" ht="63" hidden="1" customHeight="1" x14ac:dyDescent="0.25">
      <c r="A32" s="253"/>
      <c r="B32" s="62" t="str">
        <f>Questions!B58</f>
        <v>Do you have additional expenses that have not been identified?</v>
      </c>
      <c r="C32" s="33"/>
      <c r="D32" s="72"/>
      <c r="E32" s="10" t="str">
        <f>IF(OR(C32="Yes"),Questions!B59,"")</f>
        <v/>
      </c>
      <c r="F32" s="89" t="str">
        <f>IF(OR(C32="Yes"),'2019 Data'!D26,"")</f>
        <v/>
      </c>
      <c r="G32" s="10" t="str">
        <f>IF(OR(C32="Yes"),Questions!B60,"")</f>
        <v/>
      </c>
      <c r="H32" s="87"/>
      <c r="I32" s="34" t="str">
        <f>IF(OR(C32="Yes"),Questions!B61,"")</f>
        <v/>
      </c>
      <c r="J32" s="47" t="str">
        <f>IF(OR(C32="Yes"),SUM(H32-F32),"")</f>
        <v/>
      </c>
    </row>
    <row r="33" spans="1:11" ht="63" hidden="1" customHeight="1" x14ac:dyDescent="0.25">
      <c r="A33" s="254"/>
      <c r="B33" s="63"/>
      <c r="C33" s="9"/>
      <c r="D33" s="80"/>
      <c r="E33" s="12" t="s">
        <v>2</v>
      </c>
      <c r="F33" s="51">
        <f>SUM(F17:F32)</f>
        <v>0</v>
      </c>
      <c r="G33" s="12" t="s">
        <v>78</v>
      </c>
      <c r="H33" s="51">
        <f>SUM(H17:H32)</f>
        <v>0</v>
      </c>
      <c r="I33" s="26" t="s">
        <v>103</v>
      </c>
      <c r="J33" s="51">
        <f>SUM(J17:J32)</f>
        <v>0</v>
      </c>
    </row>
    <row r="34" spans="1:11" ht="63" customHeight="1" x14ac:dyDescent="0.25">
      <c r="A34" s="43" t="s">
        <v>18</v>
      </c>
      <c r="B34" s="59"/>
      <c r="C34" s="2"/>
      <c r="D34" s="82"/>
      <c r="E34" s="13" t="s">
        <v>3</v>
      </c>
      <c r="F34" s="49">
        <f>F14-F33</f>
        <v>0</v>
      </c>
      <c r="G34" s="14" t="s">
        <v>77</v>
      </c>
      <c r="H34" s="49">
        <f>H14-H33</f>
        <v>0</v>
      </c>
      <c r="I34" s="27" t="s">
        <v>4</v>
      </c>
      <c r="J34" s="49">
        <f>J14-J33</f>
        <v>0</v>
      </c>
    </row>
    <row r="35" spans="1:11" ht="75.75" customHeight="1" x14ac:dyDescent="0.25">
      <c r="A35" s="233" t="s">
        <v>13</v>
      </c>
      <c r="B35" s="81" t="str">
        <f>Questions!C2</f>
        <v>Has there been, or do you expect, a change in Accounts receivable?</v>
      </c>
      <c r="C35" s="33"/>
      <c r="D35" s="72"/>
      <c r="E35" s="113" t="str">
        <f>IF(OR(C35="Yes"),Questions!C13,"")</f>
        <v/>
      </c>
      <c r="F35" s="112" t="str">
        <f>IF(OR(C35="Yes"),'2019 Data'!D28,"")</f>
        <v/>
      </c>
      <c r="G35" s="111" t="str">
        <f>IF(OR(C35="Yes"),Questions!C14,"")</f>
        <v/>
      </c>
      <c r="H35" s="92"/>
      <c r="I35" s="38" t="str">
        <f>IF(OR(C35="Yes"),Questions!C28,"")</f>
        <v/>
      </c>
      <c r="J35" s="52" t="str">
        <f>IF(OR(C35="Yes"),SUM(F35-H35),"")</f>
        <v/>
      </c>
      <c r="K35" s="17"/>
    </row>
    <row r="36" spans="1:11" ht="75.75" customHeight="1" x14ac:dyDescent="0.25">
      <c r="A36" s="234"/>
      <c r="B36" s="96" t="str">
        <f>Questions!C3</f>
        <v>Has there been, or do you expect, a change in Accounts payable?</v>
      </c>
      <c r="C36" s="33"/>
      <c r="D36" s="72"/>
      <c r="E36" s="83" t="str">
        <f>IF(OR(C36="Yes"),Questions!C13,"")</f>
        <v/>
      </c>
      <c r="F36" s="93" t="str">
        <f>IF(OR(C36="Yes"),'2019 Data'!D29,"")</f>
        <v/>
      </c>
      <c r="G36" s="31" t="str">
        <f>IF(OR(C36="Yes"),Questions!C14,"")</f>
        <v/>
      </c>
      <c r="H36" s="92"/>
      <c r="I36" s="34" t="str">
        <f>IF(OR(C36="Yes"),Questions!C28,"")</f>
        <v/>
      </c>
      <c r="J36" s="47" t="str">
        <f>IF(OR(C36="Yes"),SUM(H36-F36),"")</f>
        <v/>
      </c>
    </row>
    <row r="37" spans="1:11" ht="75.75" customHeight="1" x14ac:dyDescent="0.25">
      <c r="A37" s="234"/>
      <c r="B37" s="81" t="str">
        <f>Questions!C4</f>
        <v>Will you delay pension fund contributions?</v>
      </c>
      <c r="C37" s="33"/>
      <c r="D37" s="72"/>
      <c r="E37" s="109" t="str">
        <f>IF(OR(C37="Yes"),Questions!C13,"")</f>
        <v/>
      </c>
      <c r="F37" s="110" t="str">
        <f>IF(OR(C37="Yes"),'2019 Data'!D30,"")</f>
        <v/>
      </c>
      <c r="G37" s="111" t="str">
        <f>IF(OR(C37="Yes"),Questions!C14,"")</f>
        <v/>
      </c>
      <c r="H37" s="92"/>
      <c r="I37" s="38" t="str">
        <f>IF(OR(C37="Yes"),Questions!C28,"")</f>
        <v/>
      </c>
      <c r="J37" s="52" t="str">
        <f>IF(OR(C37="Yes"),SUM(F37-H37),"")</f>
        <v/>
      </c>
      <c r="K37" s="44"/>
    </row>
    <row r="38" spans="1:11" ht="75.75" customHeight="1" x14ac:dyDescent="0.25">
      <c r="A38" s="234"/>
      <c r="B38" s="237" t="str">
        <f>Questions!C5</f>
        <v>Are there inter-agency funds transfers that have occurred, or that will occur?</v>
      </c>
      <c r="C38" s="239"/>
      <c r="D38" s="75"/>
      <c r="E38" s="83" t="str">
        <f>IF(OR(C38="Yes"),Questions!C15,"")</f>
        <v/>
      </c>
      <c r="F38" s="93" t="str">
        <f>IF(OR(C38="Yes"),'2019 Data'!D31,"")</f>
        <v/>
      </c>
      <c r="G38" s="31" t="str">
        <f>IF(OR(C38="Yes"),Questions!C16,"")</f>
        <v/>
      </c>
      <c r="H38" s="92"/>
      <c r="I38" s="34" t="str">
        <f>IF(OR(C38="Yes"),Questions!C28,"")</f>
        <v/>
      </c>
      <c r="J38" s="47" t="str">
        <f>IF(OR(C38="Yes"),SUM(F38-H38),"")</f>
        <v/>
      </c>
      <c r="K38" s="44"/>
    </row>
    <row r="39" spans="1:11" ht="75.75" customHeight="1" x14ac:dyDescent="0.25">
      <c r="A39" s="234"/>
      <c r="B39" s="238"/>
      <c r="C39" s="240"/>
      <c r="D39" s="74"/>
      <c r="E39" s="83" t="str">
        <f>IF(OR(C38="Yes"),Questions!C17,"")</f>
        <v/>
      </c>
      <c r="F39" s="93" t="str">
        <f>IF(OR(C38="Yes"),'2019 Data'!D32,"")</f>
        <v/>
      </c>
      <c r="G39" s="31" t="str">
        <f>IF(OR(C38="Yes"),Questions!C18,"")</f>
        <v/>
      </c>
      <c r="H39" s="92"/>
      <c r="I39" s="34" t="str">
        <f>IF(OR(C38="Yes"),Questions!C28,"")</f>
        <v/>
      </c>
      <c r="J39" s="47" t="str">
        <f>IF(OR(C38="Yes"),SUM(H39-F39),"")</f>
        <v/>
      </c>
      <c r="K39" s="44"/>
    </row>
    <row r="40" spans="1:11" ht="75.75" customHeight="1" x14ac:dyDescent="0.25">
      <c r="A40" s="234"/>
      <c r="B40" s="106" t="str">
        <f>Questions!C6</f>
        <v>Has there been, or do you expect, a change in the system's rate structure such as a delay in implementing a rate increase or temporary rate reductions?</v>
      </c>
      <c r="C40" s="33"/>
      <c r="D40" s="72"/>
      <c r="E40" s="58" t="str">
        <f>IF(OR(C40="Yes"),Questions!C19,"")</f>
        <v/>
      </c>
      <c r="F40" s="94" t="str">
        <f>IF(OR(C40="Yes"),'2019 Data'!D33,"")</f>
        <v/>
      </c>
      <c r="G40" s="37" t="str">
        <f>IF(OR(C40="Yes"),Questions!C20,"")</f>
        <v/>
      </c>
      <c r="H40" s="92"/>
      <c r="I40" s="38" t="str">
        <f>IF(OR(C40="Yes"),Questions!C28,"")</f>
        <v/>
      </c>
      <c r="J40" s="52" t="str">
        <f>IF(OR(C40="Yes"),SUM(H40-F40),"")</f>
        <v/>
      </c>
    </row>
    <row r="41" spans="1:11" ht="75.75" customHeight="1" x14ac:dyDescent="0.25">
      <c r="A41" s="234"/>
      <c r="B41" s="105" t="str">
        <f>Questions!C7</f>
        <v>Do you have a rate stabilization fund?</v>
      </c>
      <c r="C41" s="33"/>
      <c r="D41" s="72"/>
      <c r="E41" s="83" t="str">
        <f>IF(OR(C41="Yes"),Questions!C21,"")</f>
        <v/>
      </c>
      <c r="F41" s="93" t="str">
        <f>IF(OR(C41="Yes"),'2019 Data'!D34,"")</f>
        <v/>
      </c>
      <c r="G41" s="31" t="str">
        <f>IF(OR(C41="Yes"),Questions!C22,"")</f>
        <v/>
      </c>
      <c r="H41" s="92"/>
      <c r="I41" s="34" t="str">
        <f>IF(OR(C41="Yes"),Questions!C28,"")</f>
        <v/>
      </c>
      <c r="J41" s="47" t="str">
        <f>IF(OR(C41="Yes"),SUM(H41-F41),"")</f>
        <v/>
      </c>
    </row>
    <row r="42" spans="1:11" ht="75.75" customHeight="1" x14ac:dyDescent="0.25">
      <c r="A42" s="234"/>
      <c r="B42" s="106" t="str">
        <f>Questions!C8</f>
        <v>Has there been, or do you expect, a change in budgeted capital expenditures?</v>
      </c>
      <c r="C42" s="33"/>
      <c r="D42" s="72"/>
      <c r="E42" s="109" t="str">
        <f>IF(OR(C42="Yes"),Questions!C23,"")</f>
        <v/>
      </c>
      <c r="F42" s="110" t="str">
        <f>IF(OR(C42="Yes"),'2019 Data'!D35,"")</f>
        <v/>
      </c>
      <c r="G42" s="37" t="str">
        <f>IF(OR(C42="Yes"),Questions!C24,"")</f>
        <v/>
      </c>
      <c r="H42" s="92"/>
      <c r="I42" s="38" t="str">
        <f>IF(OR(C42="Yes"),Questions!C28,"")</f>
        <v/>
      </c>
      <c r="J42" s="52" t="str">
        <f>IF(OR(C42="Yes"),SUM(F42-H42),"")</f>
        <v/>
      </c>
      <c r="K42" s="44"/>
    </row>
    <row r="43" spans="1:11" ht="75.75" customHeight="1" x14ac:dyDescent="0.25">
      <c r="A43" s="234"/>
      <c r="B43" s="105" t="str">
        <f>Questions!C9</f>
        <v>Are there, or do you expect, a change in expenditures due to delayed construction projects?</v>
      </c>
      <c r="C43" s="33"/>
      <c r="D43" s="72"/>
      <c r="E43" s="231" t="str">
        <f>IF(OR(C43="Yes"),Questions!C25,"")</f>
        <v/>
      </c>
      <c r="F43" s="231"/>
      <c r="G43" s="232"/>
      <c r="H43" s="92"/>
      <c r="I43" s="34" t="str">
        <f>IF(OR(C43="Yes"),Questions!C28,"")</f>
        <v/>
      </c>
      <c r="J43" s="47" t="str">
        <f>IF(OR(C43="Yes"),H43,"")</f>
        <v/>
      </c>
      <c r="K43" s="44"/>
    </row>
    <row r="44" spans="1:11" ht="75.75" customHeight="1" x14ac:dyDescent="0.25">
      <c r="A44" s="234"/>
      <c r="B44" s="106" t="str">
        <f>Questions!C10</f>
        <v>Will you attempt to restructure existing debt?</v>
      </c>
      <c r="C44" s="33"/>
      <c r="D44" s="72"/>
      <c r="E44" s="229" t="str">
        <f>IF(OR(C44="Yes"),Questions!C25,"")</f>
        <v/>
      </c>
      <c r="F44" s="229"/>
      <c r="G44" s="230"/>
      <c r="H44" s="92"/>
      <c r="I44" s="38" t="str">
        <f>IF(OR(C44="Yes"),Questions!C28,"")</f>
        <v/>
      </c>
      <c r="J44" s="52" t="str">
        <f>IF(OR(C44="Yes"),H44,"")</f>
        <v/>
      </c>
      <c r="K44" s="44"/>
    </row>
    <row r="45" spans="1:11" ht="75.75" customHeight="1" x14ac:dyDescent="0.25">
      <c r="A45" s="234"/>
      <c r="B45" s="105" t="str">
        <f>Questions!C11</f>
        <v>Will you incur new debt?</v>
      </c>
      <c r="C45" s="33"/>
      <c r="D45" s="72"/>
      <c r="E45" s="231" t="str">
        <f>IF(OR(C45="Yes"),Questions!C25,"")</f>
        <v/>
      </c>
      <c r="F45" s="231"/>
      <c r="G45" s="232"/>
      <c r="H45" s="92"/>
      <c r="I45" s="114" t="str">
        <f>IF(OR(C45="Yes"),Questions!C28,"")</f>
        <v/>
      </c>
      <c r="J45" s="53" t="str">
        <f>IF(OR(C45="Yes"),H45,"")</f>
        <v/>
      </c>
      <c r="K45" s="44"/>
    </row>
    <row r="46" spans="1:11" ht="75.75" customHeight="1" x14ac:dyDescent="0.25">
      <c r="A46" s="235"/>
      <c r="B46" s="108" t="str">
        <f>Questions!C12</f>
        <v>Do you have available cash on hand?</v>
      </c>
      <c r="C46" s="66"/>
      <c r="D46" s="72"/>
      <c r="E46" s="229" t="str">
        <f>IF(OR(C46="Yes"),Questions!C26,"")</f>
        <v/>
      </c>
      <c r="F46" s="229"/>
      <c r="G46" s="230"/>
      <c r="H46" s="32"/>
      <c r="I46" s="38" t="str">
        <f>IF(OR(C46="Yes"),Questions!C28,"")</f>
        <v/>
      </c>
      <c r="J46" s="52" t="str">
        <f>IF(OR(C46="Yes"),H46,"")</f>
        <v/>
      </c>
      <c r="K46" s="44"/>
    </row>
    <row r="47" spans="1:11" ht="75.75" customHeight="1" x14ac:dyDescent="0.25">
      <c r="A47" s="235"/>
      <c r="B47" s="59" t="s">
        <v>254</v>
      </c>
      <c r="C47" s="33"/>
      <c r="D47" s="72"/>
      <c r="E47" s="231" t="str">
        <f>IF(OR(C47="Yes"),Questions!C27,"")</f>
        <v/>
      </c>
      <c r="F47" s="231"/>
      <c r="G47" s="232"/>
      <c r="H47" s="107"/>
      <c r="I47" s="34" t="str">
        <f>IF(OR(C47="Yes"),Questions!C28,"")</f>
        <v/>
      </c>
      <c r="J47" s="47" t="str">
        <f>IF(OR(C47="Yes"),H47,"")</f>
        <v/>
      </c>
      <c r="K47" s="44"/>
    </row>
    <row r="48" spans="1:11" ht="75.75" customHeight="1" x14ac:dyDescent="0.25">
      <c r="A48" s="236"/>
      <c r="B48" s="61"/>
      <c r="C48" s="85"/>
      <c r="D48" s="58"/>
      <c r="E48" s="84" t="s">
        <v>93</v>
      </c>
      <c r="F48" s="65">
        <f>SUM(F35:F47)</f>
        <v>0</v>
      </c>
      <c r="G48" s="45" t="s">
        <v>98</v>
      </c>
      <c r="H48" s="65">
        <f>SUM(H35:H47)</f>
        <v>0</v>
      </c>
      <c r="I48" s="56" t="s">
        <v>99</v>
      </c>
      <c r="J48" s="57">
        <f>SUM(J35:J47)</f>
        <v>0</v>
      </c>
    </row>
    <row r="49" spans="10:10" x14ac:dyDescent="0.25">
      <c r="J49" s="25"/>
    </row>
  </sheetData>
  <mergeCells count="19">
    <mergeCell ref="C17:C18"/>
    <mergeCell ref="B30:B31"/>
    <mergeCell ref="C30:C31"/>
    <mergeCell ref="A1:J1"/>
    <mergeCell ref="E30:G30"/>
    <mergeCell ref="E31:G31"/>
    <mergeCell ref="A2:A14"/>
    <mergeCell ref="B2:B3"/>
    <mergeCell ref="A15:A33"/>
    <mergeCell ref="B15:B16"/>
    <mergeCell ref="B17:B18"/>
    <mergeCell ref="A35:A48"/>
    <mergeCell ref="B38:B39"/>
    <mergeCell ref="C38:C39"/>
    <mergeCell ref="E44:G44"/>
    <mergeCell ref="E45:G45"/>
    <mergeCell ref="E46:G46"/>
    <mergeCell ref="E43:G43"/>
    <mergeCell ref="E47:G47"/>
  </mergeCells>
  <dataValidations count="1">
    <dataValidation type="list" allowBlank="1" showInputMessage="1" showErrorMessage="1" sqref="C4:C13 C17:C32 C35:C38 C40:C47 F9" xr:uid="{521D6C2E-7EE2-44CF-AE55-6F8D1D289DAD}">
      <formula1>"Yes,No"</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4817" r:id="rId4" name="CommandButton1">
          <controlPr defaultSize="0" autoLine="0" r:id="rId5">
            <anchor moveWithCells="1">
              <from>
                <xdr:col>2</xdr:col>
                <xdr:colOff>200025</xdr:colOff>
                <xdr:row>1</xdr:row>
                <xdr:rowOff>95250</xdr:rowOff>
              </from>
              <to>
                <xdr:col>2</xdr:col>
                <xdr:colOff>828675</xdr:colOff>
                <xdr:row>1</xdr:row>
                <xdr:rowOff>666750</xdr:rowOff>
              </to>
            </anchor>
          </controlPr>
        </control>
      </mc:Choice>
      <mc:Fallback>
        <control shapeId="34817" r:id="rId4" name="CommandButton1"/>
      </mc:Fallback>
    </mc:AlternateContent>
    <mc:AlternateContent xmlns:mc="http://schemas.openxmlformats.org/markup-compatibility/2006">
      <mc:Choice Requires="x14">
        <control shapeId="34818" r:id="rId6" name="CommandButton2">
          <controlPr defaultSize="0" autoLine="0" r:id="rId7">
            <anchor moveWithCells="1">
              <from>
                <xdr:col>2</xdr:col>
                <xdr:colOff>200025</xdr:colOff>
                <xdr:row>2</xdr:row>
                <xdr:rowOff>85725</xdr:rowOff>
              </from>
              <to>
                <xdr:col>2</xdr:col>
                <xdr:colOff>809625</xdr:colOff>
                <xdr:row>2</xdr:row>
                <xdr:rowOff>647700</xdr:rowOff>
              </to>
            </anchor>
          </controlPr>
        </control>
      </mc:Choice>
      <mc:Fallback>
        <control shapeId="34818" r:id="rId6" name="CommandButton2"/>
      </mc:Fallback>
    </mc:AlternateContent>
    <mc:AlternateContent xmlns:mc="http://schemas.openxmlformats.org/markup-compatibility/2006">
      <mc:Choice Requires="x14">
        <control shapeId="34819" r:id="rId8" name="CommandButton3">
          <controlPr defaultSize="0" autoLine="0" r:id="rId9">
            <anchor moveWithCells="1">
              <from>
                <xdr:col>2</xdr:col>
                <xdr:colOff>180975</xdr:colOff>
                <xdr:row>14</xdr:row>
                <xdr:rowOff>133350</xdr:rowOff>
              </from>
              <to>
                <xdr:col>2</xdr:col>
                <xdr:colOff>800100</xdr:colOff>
                <xdr:row>14</xdr:row>
                <xdr:rowOff>695325</xdr:rowOff>
              </to>
            </anchor>
          </controlPr>
        </control>
      </mc:Choice>
      <mc:Fallback>
        <control shapeId="34819" r:id="rId8" name="CommandButton3"/>
      </mc:Fallback>
    </mc:AlternateContent>
    <mc:AlternateContent xmlns:mc="http://schemas.openxmlformats.org/markup-compatibility/2006">
      <mc:Choice Requires="x14">
        <control shapeId="34820" r:id="rId10" name="CommandButton4">
          <controlPr defaultSize="0" autoLine="0" r:id="rId11">
            <anchor moveWithCells="1">
              <from>
                <xdr:col>2</xdr:col>
                <xdr:colOff>190500</xdr:colOff>
                <xdr:row>15</xdr:row>
                <xdr:rowOff>114300</xdr:rowOff>
              </from>
              <to>
                <xdr:col>2</xdr:col>
                <xdr:colOff>809625</xdr:colOff>
                <xdr:row>15</xdr:row>
                <xdr:rowOff>666750</xdr:rowOff>
              </to>
            </anchor>
          </controlPr>
        </control>
      </mc:Choice>
      <mc:Fallback>
        <control shapeId="34820" r:id="rId10" name="CommandButton4"/>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8032C-E5E1-414F-A332-D0208F6ABBA4}">
  <sheetPr codeName="Sheet11">
    <tabColor theme="9" tint="0.39997558519241921"/>
  </sheetPr>
  <dimension ref="A1:K49"/>
  <sheetViews>
    <sheetView zoomScaleNormal="100" workbookViewId="0">
      <pane ySplit="1" topLeftCell="A2" activePane="bottomLeft" state="frozen"/>
      <selection activeCell="K3" sqref="K3"/>
      <selection pane="bottomLeft" activeCell="A2" sqref="A2:A14"/>
    </sheetView>
  </sheetViews>
  <sheetFormatPr defaultColWidth="9.140625" defaultRowHeight="15" x14ac:dyDescent="0.25"/>
  <cols>
    <col min="1" max="1" width="10.7109375" style="15" customWidth="1"/>
    <col min="2" max="2" width="28.140625" style="16" customWidth="1"/>
    <col min="3" max="3" width="14" style="17" customWidth="1"/>
    <col min="4" max="4" width="2.7109375" style="4" customWidth="1"/>
    <col min="5" max="5" width="28.42578125" style="17" customWidth="1"/>
    <col min="6" max="6" width="17.7109375" style="18" customWidth="1"/>
    <col min="7" max="7" width="31.140625" style="17" customWidth="1"/>
    <col min="8" max="8" width="17.7109375" style="18" customWidth="1"/>
    <col min="9" max="9" width="23.140625" style="25" customWidth="1"/>
    <col min="10" max="10" width="17.7109375" style="19" customWidth="1"/>
    <col min="11" max="11" width="22.7109375" style="4" bestFit="1" customWidth="1"/>
    <col min="12" max="16384" width="9.140625" style="4"/>
  </cols>
  <sheetData>
    <row r="1" spans="1:10" s="1" customFormat="1" ht="27.75" customHeight="1" thickTop="1" x14ac:dyDescent="0.25">
      <c r="A1" s="241" t="s">
        <v>171</v>
      </c>
      <c r="B1" s="242"/>
      <c r="C1" s="242"/>
      <c r="D1" s="242"/>
      <c r="E1" s="242"/>
      <c r="F1" s="242"/>
      <c r="G1" s="242"/>
      <c r="H1" s="242"/>
      <c r="I1" s="242"/>
      <c r="J1" s="242"/>
    </row>
    <row r="2" spans="1:10" ht="63" customHeight="1" x14ac:dyDescent="0.25">
      <c r="A2" s="249" t="s">
        <v>1</v>
      </c>
      <c r="B2" s="243" t="s">
        <v>11</v>
      </c>
      <c r="C2" s="66"/>
      <c r="D2" s="75"/>
      <c r="E2" s="2"/>
      <c r="F2" s="3"/>
      <c r="G2" s="2"/>
      <c r="H2" s="3"/>
      <c r="I2" s="24"/>
      <c r="J2" s="53"/>
    </row>
    <row r="3" spans="1:10" ht="63" customHeight="1" x14ac:dyDescent="0.25">
      <c r="A3" s="250"/>
      <c r="B3" s="244"/>
      <c r="C3" s="68"/>
      <c r="D3" s="76"/>
      <c r="E3" s="73" t="s">
        <v>87</v>
      </c>
      <c r="F3" s="11"/>
      <c r="G3" s="10"/>
      <c r="H3" s="11"/>
      <c r="I3" s="54"/>
      <c r="J3" s="55"/>
    </row>
    <row r="4" spans="1:10" ht="63" hidden="1" customHeight="1" x14ac:dyDescent="0.25">
      <c r="A4" s="250"/>
      <c r="B4" s="42" t="str">
        <f>Questions!A2</f>
        <v>Have commercial/industrial revenues been impacted?</v>
      </c>
      <c r="C4" s="68"/>
      <c r="D4" s="74"/>
      <c r="E4" s="30" t="str">
        <f>IF(OR(C4="Yes"),Questions!A3,"")</f>
        <v/>
      </c>
      <c r="F4" s="88" t="str">
        <f>IF(OR(C4="Yes"),'2019 Data'!D3,"")</f>
        <v/>
      </c>
      <c r="G4" s="30" t="str">
        <f>IF(OR(C4="Yes"),Questions!A4,"")</f>
        <v/>
      </c>
      <c r="H4" s="86"/>
      <c r="I4" s="70" t="str">
        <f>IF(OR(C4="Yes"),Questions!A5,"")</f>
        <v/>
      </c>
      <c r="J4" s="71" t="str">
        <f t="shared" ref="J4:J13" si="0">IF(OR(C4="Yes"),SUM(H4-F4),"")</f>
        <v/>
      </c>
    </row>
    <row r="5" spans="1:10" ht="63" hidden="1" customHeight="1" x14ac:dyDescent="0.25">
      <c r="A5" s="250"/>
      <c r="B5" s="60" t="str">
        <f>Questions!A6</f>
        <v>Have residential revenues been impacted?</v>
      </c>
      <c r="C5" s="33"/>
      <c r="D5" s="74"/>
      <c r="E5" s="6" t="str">
        <f>IF(OR(C5="Yes"),Questions!A7,"")</f>
        <v/>
      </c>
      <c r="F5" s="89" t="str">
        <f>IF(OR(C5="Yes"),'2019 Data'!D4,"")</f>
        <v/>
      </c>
      <c r="G5" s="6" t="str">
        <f>IF(OR(C5="Yes"),Questions!A8,"")</f>
        <v/>
      </c>
      <c r="H5" s="87"/>
      <c r="I5" s="34" t="str">
        <f>IF(OR(C5="Yes"),Questions!A9,"")</f>
        <v/>
      </c>
      <c r="J5" s="47" t="str">
        <f t="shared" si="0"/>
        <v/>
      </c>
    </row>
    <row r="6" spans="1:10" ht="63" hidden="1" customHeight="1" x14ac:dyDescent="0.25">
      <c r="A6" s="250"/>
      <c r="B6" s="42" t="str">
        <f>Questions!A10</f>
        <v>Do you sell wholesale water/wastewater treatment?</v>
      </c>
      <c r="C6" s="33"/>
      <c r="D6" s="74"/>
      <c r="E6" s="5" t="str">
        <f>IF(OR(C6="Yes"),Questions!A11,"")</f>
        <v/>
      </c>
      <c r="F6" s="88" t="str">
        <f>IF(OR(C6="Yes"),'2019 Data'!D5,"")</f>
        <v/>
      </c>
      <c r="G6" s="5" t="str">
        <f>IF(OR(C6="Yes"),Questions!A12,"")</f>
        <v/>
      </c>
      <c r="H6" s="87"/>
      <c r="I6" s="35" t="str">
        <f>IF(OR(C6="Yes"),Questions!A13,"")</f>
        <v/>
      </c>
      <c r="J6" s="46" t="str">
        <f t="shared" si="0"/>
        <v/>
      </c>
    </row>
    <row r="7" spans="1:10" ht="63" hidden="1" customHeight="1" x14ac:dyDescent="0.25">
      <c r="A7" s="250"/>
      <c r="B7" s="60" t="str">
        <f>Questions!A14</f>
        <v>Do you charge connection/tap fees?</v>
      </c>
      <c r="C7" s="33"/>
      <c r="D7" s="74"/>
      <c r="E7" s="6" t="str">
        <f>IF(OR(C7="Yes"),Questions!A15,"")</f>
        <v/>
      </c>
      <c r="F7" s="89" t="str">
        <f>IF(OR(C7="Yes"),'2019 Data'!D6,"")</f>
        <v/>
      </c>
      <c r="G7" s="6" t="str">
        <f>IF(OR(C7="Yes"),Questions!A16,"")</f>
        <v/>
      </c>
      <c r="H7" s="87"/>
      <c r="I7" s="34" t="str">
        <f>IF(OR(C7="Yes"),Questions!A17,"")</f>
        <v/>
      </c>
      <c r="J7" s="47" t="str">
        <f t="shared" si="0"/>
        <v/>
      </c>
    </row>
    <row r="8" spans="1:10" ht="63" hidden="1" customHeight="1" x14ac:dyDescent="0.25">
      <c r="A8" s="250"/>
      <c r="B8" s="42" t="str">
        <f>Questions!A18</f>
        <v>Are you suspending late fees?</v>
      </c>
      <c r="C8" s="33"/>
      <c r="D8" s="74"/>
      <c r="E8" s="5" t="str">
        <f>IF(OR(C8="Yes"),Questions!A19,"")</f>
        <v/>
      </c>
      <c r="F8" s="88" t="str">
        <f>IF(OR(C8="Yes"),'2019 Data'!D7,"")</f>
        <v/>
      </c>
      <c r="G8" s="5" t="str">
        <f>IF(OR(C8="Yes"),Questions!A20,"")</f>
        <v/>
      </c>
      <c r="H8" s="87"/>
      <c r="I8" s="35" t="str">
        <f>IF(OR(C8="Yes"),Questions!A21,"")</f>
        <v/>
      </c>
      <c r="J8" s="46" t="str">
        <f t="shared" si="0"/>
        <v/>
      </c>
    </row>
    <row r="9" spans="1:10" ht="63" hidden="1" customHeight="1" x14ac:dyDescent="0.25">
      <c r="A9" s="250"/>
      <c r="B9" s="95" t="str">
        <f>Questions!A22</f>
        <v>Are you suspending shutoffs?</v>
      </c>
      <c r="C9" s="33"/>
      <c r="D9" s="74"/>
      <c r="E9" s="6" t="str">
        <f>IF(OR(C9="Yes"),Questions!A23,"")</f>
        <v/>
      </c>
      <c r="F9" s="115"/>
      <c r="G9" s="6" t="str">
        <f>IF(OR(F9="Yes"),Questions!A24,"")</f>
        <v/>
      </c>
      <c r="H9" s="87"/>
      <c r="I9" s="34" t="str">
        <f>IF(OR(F9="Yes"),Questions!A25,"")</f>
        <v/>
      </c>
      <c r="J9" s="47" t="str">
        <f>IF(OR(F9="Yes"),-H9,"")</f>
        <v/>
      </c>
    </row>
    <row r="10" spans="1:10" ht="63" hidden="1" customHeight="1" x14ac:dyDescent="0.25">
      <c r="A10" s="250"/>
      <c r="B10" s="42" t="str">
        <f>Questions!A26</f>
        <v>Does your system receive tax revenue either directly or from a parent agency?</v>
      </c>
      <c r="C10" s="33"/>
      <c r="D10" s="74"/>
      <c r="E10" s="5" t="str">
        <f>IF(OR(C10="Yes"),Questions!A27,"")</f>
        <v/>
      </c>
      <c r="F10" s="88" t="str">
        <f>IF(OR(C10="Yes"),'2019 Data'!D8,"")</f>
        <v/>
      </c>
      <c r="G10" s="29" t="str">
        <f>IF(OR(C10="Yes"),Questions!A28,"")</f>
        <v/>
      </c>
      <c r="H10" s="87"/>
      <c r="I10" s="35" t="str">
        <f>IF(OR(C10="Yes"),Questions!A29,"")</f>
        <v/>
      </c>
      <c r="J10" s="46" t="str">
        <f t="shared" si="0"/>
        <v/>
      </c>
    </row>
    <row r="11" spans="1:10" ht="63" hidden="1" customHeight="1" x14ac:dyDescent="0.25">
      <c r="A11" s="250"/>
      <c r="B11" s="60" t="str">
        <f>Questions!A30</f>
        <v>Do you sell byproducts (e.g., biosolids, electricity, etc.)?</v>
      </c>
      <c r="C11" s="33"/>
      <c r="D11" s="74"/>
      <c r="E11" s="6" t="str">
        <f>IF(OR(C11="Yes"),Questions!A31,"")</f>
        <v/>
      </c>
      <c r="F11" s="89" t="str">
        <f>IF(OR(C11="Yes"),'2019 Data'!D9,"")</f>
        <v/>
      </c>
      <c r="G11" s="83" t="str">
        <f>IF(OR(C11="Yes"),Questions!A32,"")</f>
        <v/>
      </c>
      <c r="H11" s="87"/>
      <c r="I11" s="34" t="str">
        <f>IF(OR(C11="Yes"),Questions!A33,"")</f>
        <v/>
      </c>
      <c r="J11" s="47" t="str">
        <f t="shared" si="0"/>
        <v/>
      </c>
    </row>
    <row r="12" spans="1:10" ht="63" hidden="1" customHeight="1" x14ac:dyDescent="0.25">
      <c r="A12" s="250"/>
      <c r="B12" s="42" t="str">
        <f>Questions!A34</f>
        <v>Do you generate interest income from cash on hand?</v>
      </c>
      <c r="C12" s="33"/>
      <c r="D12" s="74"/>
      <c r="E12" s="5" t="str">
        <f>IF(OR(C12="Yes"),Questions!A35,"")</f>
        <v/>
      </c>
      <c r="F12" s="88" t="str">
        <f>IF(OR(C12="Yes"),'2019 Data'!D10,"")</f>
        <v/>
      </c>
      <c r="G12" s="30" t="str">
        <f>IF(OR(C12="Yes"),Questions!A36,"")</f>
        <v/>
      </c>
      <c r="H12" s="87"/>
      <c r="I12" s="35" t="str">
        <f>IF(OR(C12="Yes"),Questions!A37,"")</f>
        <v/>
      </c>
      <c r="J12" s="46" t="str">
        <f t="shared" si="0"/>
        <v/>
      </c>
    </row>
    <row r="13" spans="1:10" ht="63" hidden="1" customHeight="1" x14ac:dyDescent="0.25">
      <c r="A13" s="250"/>
      <c r="B13" s="62" t="str">
        <f>Questions!A38</f>
        <v>Do you have additional revenue streams that have not been identified?</v>
      </c>
      <c r="C13" s="66"/>
      <c r="D13" s="77"/>
      <c r="E13" s="7" t="str">
        <f>IF(OR(C13="Yes"),Questions!A39,"")</f>
        <v/>
      </c>
      <c r="F13" s="90" t="str">
        <f>IF(OR(C13="Yes"),'2019 Data'!D11,"")</f>
        <v/>
      </c>
      <c r="G13" s="6" t="str">
        <f>IF(OR(C13="Yes"),Questions!A40,"")</f>
        <v/>
      </c>
      <c r="H13" s="87"/>
      <c r="I13" s="34" t="str">
        <f>IF(OR(C13="Yes"),Questions!A41,"")</f>
        <v/>
      </c>
      <c r="J13" s="47" t="str">
        <f t="shared" si="0"/>
        <v/>
      </c>
    </row>
    <row r="14" spans="1:10" ht="63" hidden="1" customHeight="1" x14ac:dyDescent="0.25">
      <c r="A14" s="251"/>
      <c r="B14" s="78"/>
      <c r="C14" s="29"/>
      <c r="D14" s="79"/>
      <c r="E14" s="8" t="s">
        <v>0</v>
      </c>
      <c r="F14" s="48">
        <f>SUM(F2:F13)</f>
        <v>0</v>
      </c>
      <c r="G14" s="8" t="s">
        <v>102</v>
      </c>
      <c r="H14" s="48">
        <f>SUM(H2:H13)</f>
        <v>0</v>
      </c>
      <c r="I14" s="28" t="s">
        <v>100</v>
      </c>
      <c r="J14" s="48">
        <f>SUM(J2:J13)</f>
        <v>0</v>
      </c>
    </row>
    <row r="15" spans="1:10" ht="63" customHeight="1" x14ac:dyDescent="0.25">
      <c r="A15" s="252" t="s">
        <v>9</v>
      </c>
      <c r="B15" s="245" t="s">
        <v>298</v>
      </c>
      <c r="C15" s="66"/>
      <c r="D15" s="75"/>
      <c r="E15" s="2"/>
      <c r="F15" s="3"/>
      <c r="G15" s="2"/>
      <c r="H15" s="3"/>
      <c r="I15" s="24"/>
      <c r="J15" s="53"/>
    </row>
    <row r="16" spans="1:10" ht="63" customHeight="1" x14ac:dyDescent="0.25">
      <c r="A16" s="253"/>
      <c r="B16" s="246"/>
      <c r="C16" s="67"/>
      <c r="D16" s="77"/>
      <c r="E16" s="98" t="s">
        <v>245</v>
      </c>
      <c r="F16" s="11"/>
      <c r="G16" s="10"/>
      <c r="H16" s="11"/>
      <c r="I16" s="54"/>
      <c r="J16" s="55"/>
    </row>
    <row r="17" spans="1:11" ht="63" hidden="1" customHeight="1" x14ac:dyDescent="0.25">
      <c r="A17" s="253"/>
      <c r="B17" s="247" t="str">
        <f>Questions!B2</f>
        <v>Have your labor costs, regular and overtime, changed?</v>
      </c>
      <c r="C17" s="239"/>
      <c r="D17" s="75"/>
      <c r="E17" s="9" t="str">
        <f>IF(OR(C17="Yes"),Questions!B3,"")</f>
        <v/>
      </c>
      <c r="F17" s="91" t="str">
        <f>IF(OR(C17="Yes"),'2019 Data'!D13,"")</f>
        <v/>
      </c>
      <c r="G17" s="9" t="str">
        <f>IF(OR(C17="Yes"),Questions!B4,"")</f>
        <v/>
      </c>
      <c r="H17" s="87"/>
      <c r="I17" s="36" t="str">
        <f>IF(OR(C17="Yes"),Questions!B5,"")</f>
        <v/>
      </c>
      <c r="J17" s="50" t="str">
        <f>IF(OR(C17="Yes"),SUM(H17-F17),"")</f>
        <v/>
      </c>
    </row>
    <row r="18" spans="1:11" ht="63" hidden="1" customHeight="1" x14ac:dyDescent="0.25">
      <c r="A18" s="253"/>
      <c r="B18" s="248"/>
      <c r="C18" s="240"/>
      <c r="D18" s="77"/>
      <c r="E18" s="9" t="str">
        <f>IF(OR(C17="Yes"),Questions!B6,"")</f>
        <v/>
      </c>
      <c r="F18" s="91" t="str">
        <f>IF(OR(C17="Yes"),'2019 Data'!D14,"")</f>
        <v/>
      </c>
      <c r="G18" s="9" t="str">
        <f>IF(OR(C17="Yes"),Questions!B7,"")</f>
        <v/>
      </c>
      <c r="H18" s="87"/>
      <c r="I18" s="36" t="str">
        <f>IF(OR(C17="Yes"),Questions!B8,"")</f>
        <v/>
      </c>
      <c r="J18" s="50" t="str">
        <f>IF(OR(C17="Yes"),SUM(H18-F18),"")</f>
        <v/>
      </c>
    </row>
    <row r="19" spans="1:11" ht="63" hidden="1" customHeight="1" x14ac:dyDescent="0.25">
      <c r="A19" s="253"/>
      <c r="B19" s="95" t="str">
        <f>Questions!B9</f>
        <v>Do you purchase water for resale?</v>
      </c>
      <c r="C19" s="33"/>
      <c r="D19" s="72"/>
      <c r="E19" s="10" t="str">
        <f>IF(OR(C19="Yes"),Questions!B10,"")</f>
        <v/>
      </c>
      <c r="F19" s="89" t="str">
        <f>IF(OR(C19="Yes"),'2019 Data'!D15,"")</f>
        <v/>
      </c>
      <c r="G19" s="10" t="str">
        <f>IF(OR(C19="Yes"),Questions!B11,"")</f>
        <v/>
      </c>
      <c r="H19" s="87"/>
      <c r="I19" s="34" t="str">
        <f>IF(OR(C19="Yes"),Questions!B12,"")</f>
        <v/>
      </c>
      <c r="J19" s="47" t="str">
        <f t="shared" ref="J19:J22" si="1">IF(OR(C19="Yes"),SUM(H19-F19),"")</f>
        <v/>
      </c>
    </row>
    <row r="20" spans="1:11" ht="63" hidden="1" customHeight="1" x14ac:dyDescent="0.25">
      <c r="A20" s="253"/>
      <c r="B20" s="97" t="s">
        <v>193</v>
      </c>
      <c r="C20" s="33"/>
      <c r="D20" s="72"/>
      <c r="E20" s="69" t="str">
        <f>IF(OR(C20="Yes"),Questions!B14,"")</f>
        <v/>
      </c>
      <c r="F20" s="91" t="str">
        <f>IF(OR(C20="Yes"),'2019 Data'!D16,"")</f>
        <v/>
      </c>
      <c r="G20" s="69" t="str">
        <f>IF(OR(C20="Yes"),Questions!B15,"")</f>
        <v/>
      </c>
      <c r="H20" s="87"/>
      <c r="I20" s="36" t="str">
        <f>IF(OR(C20="Yes"),Questions!B16,"")</f>
        <v/>
      </c>
      <c r="J20" s="50" t="str">
        <f t="shared" si="1"/>
        <v/>
      </c>
    </row>
    <row r="21" spans="1:11" ht="63" hidden="1" customHeight="1" x14ac:dyDescent="0.25">
      <c r="A21" s="253"/>
      <c r="B21" s="95" t="str">
        <f>Questions!B17</f>
        <v>Have your chemical usages changed?</v>
      </c>
      <c r="C21" s="33"/>
      <c r="D21" s="72"/>
      <c r="E21" s="6" t="str">
        <f>IF(OR(C21="Yes"),Questions!B18,"")</f>
        <v/>
      </c>
      <c r="F21" s="89" t="str">
        <f>IF(OR(C21="Yes"),'2019 Data'!D17,"")</f>
        <v/>
      </c>
      <c r="G21" s="6" t="str">
        <f>IF(OR(C21="Yes"),Questions!B19,"")</f>
        <v/>
      </c>
      <c r="H21" s="87"/>
      <c r="I21" s="34" t="str">
        <f>IF(OR(C21="Yes"),Questions!B20,"")</f>
        <v/>
      </c>
      <c r="J21" s="47" t="str">
        <f t="shared" si="1"/>
        <v/>
      </c>
    </row>
    <row r="22" spans="1:11" ht="63" hidden="1" customHeight="1" x14ac:dyDescent="0.25">
      <c r="A22" s="253"/>
      <c r="B22" s="97" t="str">
        <f>Questions!B21</f>
        <v>Have your disposal costs changed?</v>
      </c>
      <c r="C22" s="33"/>
      <c r="D22" s="72"/>
      <c r="E22" s="9" t="str">
        <f>IF(OR(C22="Yes"),Questions!B22,"")</f>
        <v/>
      </c>
      <c r="F22" s="91" t="str">
        <f>IF(OR(C22="Yes"),'2019 Data'!D18,"")</f>
        <v/>
      </c>
      <c r="G22" s="9" t="str">
        <f>IF(OR(C22="Yes"),Questions!B23,"")</f>
        <v/>
      </c>
      <c r="H22" s="87"/>
      <c r="I22" s="36" t="str">
        <f>IF(OR(C22="Yes"),Questions!B24,"")</f>
        <v/>
      </c>
      <c r="J22" s="50" t="str">
        <f t="shared" si="1"/>
        <v/>
      </c>
    </row>
    <row r="23" spans="1:11" ht="63" hidden="1" customHeight="1" x14ac:dyDescent="0.25">
      <c r="A23" s="253"/>
      <c r="B23" s="60" t="str">
        <f>Questions!B25</f>
        <v>Have your testing expenses changed?</v>
      </c>
      <c r="C23" s="33"/>
      <c r="D23" s="72"/>
      <c r="E23" s="6" t="str">
        <f>IF(OR(C23="Yes"),Questions!B26,"")</f>
        <v/>
      </c>
      <c r="F23" s="89" t="str">
        <f>IF(OR(C23="Yes"),'2019 Data'!D19,"")</f>
        <v/>
      </c>
      <c r="G23" s="6" t="str">
        <f>IF(OR(C23="Yes"),Questions!B27,"")</f>
        <v/>
      </c>
      <c r="H23" s="87"/>
      <c r="I23" s="34" t="str">
        <f>IF(OR(C23="Yes"),Questions!B28,"")</f>
        <v/>
      </c>
      <c r="J23" s="47" t="str">
        <f t="shared" ref="J23:J30" si="2">IF(OR(C23="Yes"),SUM(H23-F23),"")</f>
        <v/>
      </c>
    </row>
    <row r="24" spans="1:11" ht="63" hidden="1" customHeight="1" x14ac:dyDescent="0.25">
      <c r="A24" s="253"/>
      <c r="B24" s="64" t="str">
        <f>Questions!B29</f>
        <v>Has there been a change in the system's energy bill?</v>
      </c>
      <c r="C24" s="33"/>
      <c r="D24" s="72"/>
      <c r="E24" s="9" t="str">
        <f>IF(OR(C24="Yes"),Questions!B30,"")</f>
        <v/>
      </c>
      <c r="F24" s="91" t="str">
        <f>IF(OR(C24="Yes"),'2019 Data'!D20,"")</f>
        <v/>
      </c>
      <c r="G24" s="9" t="str">
        <f>IF(OR(C24="Yes"),Questions!B31,"")</f>
        <v/>
      </c>
      <c r="H24" s="87"/>
      <c r="I24" s="36" t="str">
        <f>IF(OR(C24="Yes"),Questions!B32,"")</f>
        <v/>
      </c>
      <c r="J24" s="50" t="str">
        <f t="shared" si="2"/>
        <v/>
      </c>
    </row>
    <row r="25" spans="1:11" ht="63" hidden="1" customHeight="1" x14ac:dyDescent="0.25">
      <c r="A25" s="253"/>
      <c r="B25" s="60" t="str">
        <f>Questions!B33</f>
        <v>Has there been a change in the system's other utility services?</v>
      </c>
      <c r="C25" s="33"/>
      <c r="D25" s="72"/>
      <c r="E25" s="7" t="str">
        <f>IF(OR(C25="Yes"),Questions!B34,"")</f>
        <v/>
      </c>
      <c r="F25" s="90" t="str">
        <f>IF(OR(C25="Yes"),'2019 Data'!D21,"")</f>
        <v/>
      </c>
      <c r="G25" s="6" t="str">
        <f>IF(OR(C25="Yes"),Questions!B35,"")</f>
        <v/>
      </c>
      <c r="H25" s="87"/>
      <c r="I25" s="34" t="str">
        <f>IF(OR(C25="Yes"),Questions!B36,"")</f>
        <v/>
      </c>
      <c r="J25" s="47" t="str">
        <f t="shared" si="2"/>
        <v/>
      </c>
    </row>
    <row r="26" spans="1:11" ht="63" hidden="1" customHeight="1" x14ac:dyDescent="0.25">
      <c r="A26" s="253"/>
      <c r="B26" s="64" t="str">
        <f>Questions!B37</f>
        <v>Has there been a change in use of supplies (supply chains)?</v>
      </c>
      <c r="C26" s="33"/>
      <c r="D26" s="72"/>
      <c r="E26" s="9" t="str">
        <f>IF(OR(C26="Yes"),Questions!B38,"")</f>
        <v/>
      </c>
      <c r="F26" s="91" t="str">
        <f>IF(OR(C26="Yes"),'2019 Data'!D22,"")</f>
        <v/>
      </c>
      <c r="G26" s="9" t="str">
        <f>IF(OR(C26="Yes"),Questions!B39,"")</f>
        <v/>
      </c>
      <c r="H26" s="87"/>
      <c r="I26" s="36" t="str">
        <f>IF(OR(C26="Yes"),Questions!B40,"")</f>
        <v/>
      </c>
      <c r="J26" s="50" t="str">
        <f t="shared" si="2"/>
        <v/>
      </c>
    </row>
    <row r="27" spans="1:11" ht="63" hidden="1" customHeight="1" x14ac:dyDescent="0.25">
      <c r="A27" s="253"/>
      <c r="B27" s="60" t="str">
        <f>Questions!B41</f>
        <v>Has there been a change in supplying uniforms/attire?</v>
      </c>
      <c r="C27" s="33"/>
      <c r="D27" s="72"/>
      <c r="E27" s="6" t="str">
        <f>IF(OR(C27="Yes"),Questions!B42,"")</f>
        <v/>
      </c>
      <c r="F27" s="89" t="str">
        <f>IF(OR(C27="Yes"),'2019 Data'!D23,"")</f>
        <v/>
      </c>
      <c r="G27" s="6" t="str">
        <f>IF(OR(C27="Yes"),Questions!B43,"")</f>
        <v/>
      </c>
      <c r="H27" s="87"/>
      <c r="I27" s="34" t="str">
        <f>IF(OR(C27="Yes"),Questions!B44,"")</f>
        <v/>
      </c>
      <c r="J27" s="47" t="str">
        <f t="shared" si="2"/>
        <v/>
      </c>
    </row>
    <row r="28" spans="1:11" ht="63" hidden="1" customHeight="1" x14ac:dyDescent="0.25">
      <c r="A28" s="253"/>
      <c r="B28" s="64" t="str">
        <f>Questions!B45</f>
        <v>Has there been a change in supplying Personal Protection Equipment (PPE) or other materials, such as cloth masks?</v>
      </c>
      <c r="C28" s="33"/>
      <c r="D28" s="72"/>
      <c r="E28" s="9" t="str">
        <f>IF(OR(C28="Yes"),Questions!B46,"")</f>
        <v/>
      </c>
      <c r="F28" s="91" t="str">
        <f>IF(OR(C28="Yes"),'2019 Data'!D24,"")</f>
        <v/>
      </c>
      <c r="G28" s="9" t="str">
        <f>IF(OR(C28="Yes"),Questions!B47,"")</f>
        <v/>
      </c>
      <c r="H28" s="87"/>
      <c r="I28" s="36" t="str">
        <f>IF(OR(C28="Yes"),Questions!B48,"")</f>
        <v/>
      </c>
      <c r="J28" s="50" t="str">
        <f t="shared" si="2"/>
        <v/>
      </c>
    </row>
    <row r="29" spans="1:11" ht="63" hidden="1" customHeight="1" x14ac:dyDescent="0.25">
      <c r="A29" s="253"/>
      <c r="B29" s="60" t="str">
        <f>Questions!B49</f>
        <v>Do you expect a change in the system's interest expenses?</v>
      </c>
      <c r="C29" s="33"/>
      <c r="D29" s="72"/>
      <c r="E29" s="2" t="str">
        <f>IF(OR(C29="Yes"),Questions!B50,"")</f>
        <v/>
      </c>
      <c r="F29" s="89" t="str">
        <f>IF(OR(C29="Yes"),'2019 Data'!D25,"")</f>
        <v/>
      </c>
      <c r="G29" s="2" t="str">
        <f>IF(OR(C29="Yes"),Questions!B51,"")</f>
        <v/>
      </c>
      <c r="H29" s="87"/>
      <c r="I29" s="34" t="str">
        <f>IF(OR(C29="Yes"),Questions!B52,"")</f>
        <v/>
      </c>
      <c r="J29" s="47" t="str">
        <f t="shared" si="2"/>
        <v/>
      </c>
    </row>
    <row r="30" spans="1:11" ht="63" hidden="1" customHeight="1" x14ac:dyDescent="0.25">
      <c r="A30" s="253"/>
      <c r="B30" s="247" t="str">
        <f>Questions!B53</f>
        <v>Have you incurred new expenses as a result of COVID-19?</v>
      </c>
      <c r="C30" s="239"/>
      <c r="D30" s="75"/>
      <c r="E30" s="255" t="str">
        <f>IF(OR(C30="Yes"),Questions!B54,"")</f>
        <v/>
      </c>
      <c r="F30" s="255"/>
      <c r="G30" s="256"/>
      <c r="H30" s="87"/>
      <c r="I30" s="36"/>
      <c r="J30" s="50" t="str">
        <f t="shared" si="2"/>
        <v/>
      </c>
      <c r="K30" s="44"/>
    </row>
    <row r="31" spans="1:11" ht="63" hidden="1" customHeight="1" x14ac:dyDescent="0.25">
      <c r="A31" s="253"/>
      <c r="B31" s="248"/>
      <c r="C31" s="240"/>
      <c r="D31" s="74"/>
      <c r="E31" s="255" t="str">
        <f>IF(OR(C30="Yes"),Questions!B57,"")</f>
        <v/>
      </c>
      <c r="F31" s="255"/>
      <c r="G31" s="256"/>
      <c r="H31" s="87"/>
      <c r="I31" s="36" t="str">
        <f>IF(OR(C31="Yes"),Questions!B51,"")</f>
        <v/>
      </c>
      <c r="J31" s="50" t="str">
        <f>IF(OR(C30="Yes"),SUM(H30-F30),"")</f>
        <v/>
      </c>
      <c r="K31" s="44"/>
    </row>
    <row r="32" spans="1:11" ht="63" hidden="1" customHeight="1" x14ac:dyDescent="0.25">
      <c r="A32" s="253"/>
      <c r="B32" s="62" t="str">
        <f>Questions!B58</f>
        <v>Do you have additional expenses that have not been identified?</v>
      </c>
      <c r="C32" s="33"/>
      <c r="D32" s="72"/>
      <c r="E32" s="10" t="str">
        <f>IF(OR(C32="Yes"),Questions!B59,"")</f>
        <v/>
      </c>
      <c r="F32" s="89" t="str">
        <f>IF(OR(C32="Yes"),'2019 Data'!D26,"")</f>
        <v/>
      </c>
      <c r="G32" s="10" t="str">
        <f>IF(OR(C32="Yes"),Questions!B60,"")</f>
        <v/>
      </c>
      <c r="H32" s="87"/>
      <c r="I32" s="34" t="str">
        <f>IF(OR(C32="Yes"),Questions!B61,"")</f>
        <v/>
      </c>
      <c r="J32" s="47" t="str">
        <f>IF(OR(C32="Yes"),SUM(H32-F32),"")</f>
        <v/>
      </c>
    </row>
    <row r="33" spans="1:11" ht="63" hidden="1" customHeight="1" x14ac:dyDescent="0.25">
      <c r="A33" s="254"/>
      <c r="B33" s="63"/>
      <c r="C33" s="9"/>
      <c r="D33" s="80"/>
      <c r="E33" s="12" t="s">
        <v>2</v>
      </c>
      <c r="F33" s="51">
        <f>SUM(F17:F32)</f>
        <v>0</v>
      </c>
      <c r="G33" s="12" t="s">
        <v>78</v>
      </c>
      <c r="H33" s="51">
        <f>SUM(H17:H32)</f>
        <v>0</v>
      </c>
      <c r="I33" s="26" t="s">
        <v>103</v>
      </c>
      <c r="J33" s="51">
        <f>SUM(J17:J32)</f>
        <v>0</v>
      </c>
    </row>
    <row r="34" spans="1:11" ht="63" customHeight="1" x14ac:dyDescent="0.25">
      <c r="A34" s="43" t="s">
        <v>18</v>
      </c>
      <c r="B34" s="59"/>
      <c r="C34" s="2"/>
      <c r="D34" s="82"/>
      <c r="E34" s="13" t="s">
        <v>3</v>
      </c>
      <c r="F34" s="49">
        <f>F14-F33</f>
        <v>0</v>
      </c>
      <c r="G34" s="14" t="s">
        <v>77</v>
      </c>
      <c r="H34" s="49">
        <f>H14-H33</f>
        <v>0</v>
      </c>
      <c r="I34" s="27" t="s">
        <v>4</v>
      </c>
      <c r="J34" s="49">
        <f>J14-J33</f>
        <v>0</v>
      </c>
    </row>
    <row r="35" spans="1:11" ht="75.75" customHeight="1" x14ac:dyDescent="0.25">
      <c r="A35" s="233" t="s">
        <v>13</v>
      </c>
      <c r="B35" s="81" t="str">
        <f>Questions!C2</f>
        <v>Has there been, or do you expect, a change in Accounts receivable?</v>
      </c>
      <c r="C35" s="33"/>
      <c r="D35" s="72"/>
      <c r="E35" s="113" t="str">
        <f>IF(OR(C35="Yes"),Questions!C13,"")</f>
        <v/>
      </c>
      <c r="F35" s="112" t="str">
        <f>IF(OR(C35="Yes"),'2019 Data'!D28,"")</f>
        <v/>
      </c>
      <c r="G35" s="111" t="str">
        <f>IF(OR(C35="Yes"),Questions!C14,"")</f>
        <v/>
      </c>
      <c r="H35" s="92"/>
      <c r="I35" s="38" t="str">
        <f>IF(OR(C35="Yes"),Questions!C28,"")</f>
        <v/>
      </c>
      <c r="J35" s="52" t="str">
        <f>IF(OR(C35="Yes"),SUM(F35-H35),"")</f>
        <v/>
      </c>
      <c r="K35" s="17"/>
    </row>
    <row r="36" spans="1:11" ht="75.75" customHeight="1" x14ac:dyDescent="0.25">
      <c r="A36" s="234"/>
      <c r="B36" s="96" t="str">
        <f>Questions!C3</f>
        <v>Has there been, or do you expect, a change in Accounts payable?</v>
      </c>
      <c r="C36" s="33"/>
      <c r="D36" s="72"/>
      <c r="E36" s="83" t="str">
        <f>IF(OR(C36="Yes"),Questions!C13,"")</f>
        <v/>
      </c>
      <c r="F36" s="93" t="str">
        <f>IF(OR(C36="Yes"),'2019 Data'!D29,"")</f>
        <v/>
      </c>
      <c r="G36" s="31" t="str">
        <f>IF(OR(C36="Yes"),Questions!C14,"")</f>
        <v/>
      </c>
      <c r="H36" s="92"/>
      <c r="I36" s="34" t="str">
        <f>IF(OR(C36="Yes"),Questions!C28,"")</f>
        <v/>
      </c>
      <c r="J36" s="47" t="str">
        <f>IF(OR(C36="Yes"),SUM(H36-F36),"")</f>
        <v/>
      </c>
    </row>
    <row r="37" spans="1:11" ht="75.75" customHeight="1" x14ac:dyDescent="0.25">
      <c r="A37" s="234"/>
      <c r="B37" s="81" t="str">
        <f>Questions!C4</f>
        <v>Will you delay pension fund contributions?</v>
      </c>
      <c r="C37" s="33"/>
      <c r="D37" s="72"/>
      <c r="E37" s="109" t="str">
        <f>IF(OR(C37="Yes"),Questions!C13,"")</f>
        <v/>
      </c>
      <c r="F37" s="110" t="str">
        <f>IF(OR(C37="Yes"),'2019 Data'!D30,"")</f>
        <v/>
      </c>
      <c r="G37" s="111" t="str">
        <f>IF(OR(C37="Yes"),Questions!C14,"")</f>
        <v/>
      </c>
      <c r="H37" s="92"/>
      <c r="I37" s="38" t="str">
        <f>IF(OR(C37="Yes"),Questions!C28,"")</f>
        <v/>
      </c>
      <c r="J37" s="52" t="str">
        <f>IF(OR(C37="Yes"),SUM(F37-H37),"")</f>
        <v/>
      </c>
      <c r="K37" s="44"/>
    </row>
    <row r="38" spans="1:11" ht="75.75" customHeight="1" x14ac:dyDescent="0.25">
      <c r="A38" s="234"/>
      <c r="B38" s="237" t="str">
        <f>Questions!C5</f>
        <v>Are there inter-agency funds transfers that have occurred, or that will occur?</v>
      </c>
      <c r="C38" s="239"/>
      <c r="D38" s="75"/>
      <c r="E38" s="83" t="str">
        <f>IF(OR(C38="Yes"),Questions!C15,"")</f>
        <v/>
      </c>
      <c r="F38" s="93" t="str">
        <f>IF(OR(C38="Yes"),'2019 Data'!D31,"")</f>
        <v/>
      </c>
      <c r="G38" s="31" t="str">
        <f>IF(OR(C38="Yes"),Questions!C16,"")</f>
        <v/>
      </c>
      <c r="H38" s="92"/>
      <c r="I38" s="34" t="str">
        <f>IF(OR(C38="Yes"),Questions!C28,"")</f>
        <v/>
      </c>
      <c r="J38" s="47" t="str">
        <f>IF(OR(C38="Yes"),SUM(F38-H38),"")</f>
        <v/>
      </c>
      <c r="K38" s="44"/>
    </row>
    <row r="39" spans="1:11" ht="75.75" customHeight="1" x14ac:dyDescent="0.25">
      <c r="A39" s="234"/>
      <c r="B39" s="238"/>
      <c r="C39" s="240"/>
      <c r="D39" s="74"/>
      <c r="E39" s="83" t="str">
        <f>IF(OR(C38="Yes"),Questions!C17,"")</f>
        <v/>
      </c>
      <c r="F39" s="93" t="str">
        <f>IF(OR(C38="Yes"),'2019 Data'!D32,"")</f>
        <v/>
      </c>
      <c r="G39" s="31" t="str">
        <f>IF(OR(C38="Yes"),Questions!C18,"")</f>
        <v/>
      </c>
      <c r="H39" s="92"/>
      <c r="I39" s="34" t="str">
        <f>IF(OR(C38="Yes"),Questions!C28,"")</f>
        <v/>
      </c>
      <c r="J39" s="47" t="str">
        <f>IF(OR(C38="Yes"),SUM(H39-F39),"")</f>
        <v/>
      </c>
      <c r="K39" s="44"/>
    </row>
    <row r="40" spans="1:11" ht="75.75" customHeight="1" x14ac:dyDescent="0.25">
      <c r="A40" s="234"/>
      <c r="B40" s="106" t="str">
        <f>Questions!C6</f>
        <v>Has there been, or do you expect, a change in the system's rate structure such as a delay in implementing a rate increase or temporary rate reductions?</v>
      </c>
      <c r="C40" s="33"/>
      <c r="D40" s="72"/>
      <c r="E40" s="58" t="str">
        <f>IF(OR(C40="Yes"),Questions!C19,"")</f>
        <v/>
      </c>
      <c r="F40" s="94" t="str">
        <f>IF(OR(C40="Yes"),'2019 Data'!D33,"")</f>
        <v/>
      </c>
      <c r="G40" s="37" t="str">
        <f>IF(OR(C40="Yes"),Questions!C20,"")</f>
        <v/>
      </c>
      <c r="H40" s="92"/>
      <c r="I40" s="38" t="str">
        <f>IF(OR(C40="Yes"),Questions!C28,"")</f>
        <v/>
      </c>
      <c r="J40" s="52" t="str">
        <f>IF(OR(C40="Yes"),SUM(H40-F40),"")</f>
        <v/>
      </c>
    </row>
    <row r="41" spans="1:11" ht="75.75" customHeight="1" x14ac:dyDescent="0.25">
      <c r="A41" s="234"/>
      <c r="B41" s="105" t="str">
        <f>Questions!C7</f>
        <v>Do you have a rate stabilization fund?</v>
      </c>
      <c r="C41" s="33"/>
      <c r="D41" s="72"/>
      <c r="E41" s="83" t="str">
        <f>IF(OR(C41="Yes"),Questions!C21,"")</f>
        <v/>
      </c>
      <c r="F41" s="93" t="str">
        <f>IF(OR(C41="Yes"),'2019 Data'!D34,"")</f>
        <v/>
      </c>
      <c r="G41" s="31" t="str">
        <f>IF(OR(C41="Yes"),Questions!C22,"")</f>
        <v/>
      </c>
      <c r="H41" s="92"/>
      <c r="I41" s="34" t="str">
        <f>IF(OR(C41="Yes"),Questions!C28,"")</f>
        <v/>
      </c>
      <c r="J41" s="47" t="str">
        <f>IF(OR(C41="Yes"),SUM(H41-F41),"")</f>
        <v/>
      </c>
    </row>
    <row r="42" spans="1:11" ht="75.75" customHeight="1" x14ac:dyDescent="0.25">
      <c r="A42" s="234"/>
      <c r="B42" s="106" t="str">
        <f>Questions!C8</f>
        <v>Has there been, or do you expect, a change in budgeted capital expenditures?</v>
      </c>
      <c r="C42" s="33"/>
      <c r="D42" s="72"/>
      <c r="E42" s="109" t="str">
        <f>IF(OR(C42="Yes"),Questions!C23,"")</f>
        <v/>
      </c>
      <c r="F42" s="110" t="str">
        <f>IF(OR(C42="Yes"),'2019 Data'!D35,"")</f>
        <v/>
      </c>
      <c r="G42" s="37" t="str">
        <f>IF(OR(C42="Yes"),Questions!C24,"")</f>
        <v/>
      </c>
      <c r="H42" s="92"/>
      <c r="I42" s="38" t="str">
        <f>IF(OR(C42="Yes"),Questions!C28,"")</f>
        <v/>
      </c>
      <c r="J42" s="52" t="str">
        <f>IF(OR(C42="Yes"),SUM(F42-H42),"")</f>
        <v/>
      </c>
      <c r="K42" s="44"/>
    </row>
    <row r="43" spans="1:11" ht="75.75" customHeight="1" x14ac:dyDescent="0.25">
      <c r="A43" s="234"/>
      <c r="B43" s="105" t="str">
        <f>Questions!C9</f>
        <v>Are there, or do you expect, a change in expenditures due to delayed construction projects?</v>
      </c>
      <c r="C43" s="33"/>
      <c r="D43" s="72"/>
      <c r="E43" s="231" t="str">
        <f>IF(OR(C43="Yes"),Questions!C25,"")</f>
        <v/>
      </c>
      <c r="F43" s="231"/>
      <c r="G43" s="232"/>
      <c r="H43" s="92"/>
      <c r="I43" s="34" t="str">
        <f>IF(OR(C43="Yes"),Questions!C28,"")</f>
        <v/>
      </c>
      <c r="J43" s="47" t="str">
        <f>IF(OR(C43="Yes"),H43,"")</f>
        <v/>
      </c>
      <c r="K43" s="44"/>
    </row>
    <row r="44" spans="1:11" ht="75.75" customHeight="1" x14ac:dyDescent="0.25">
      <c r="A44" s="234"/>
      <c r="B44" s="106" t="str">
        <f>Questions!C10</f>
        <v>Will you attempt to restructure existing debt?</v>
      </c>
      <c r="C44" s="33"/>
      <c r="D44" s="72"/>
      <c r="E44" s="229" t="str">
        <f>IF(OR(C44="Yes"),Questions!C25,"")</f>
        <v/>
      </c>
      <c r="F44" s="229"/>
      <c r="G44" s="230"/>
      <c r="H44" s="92"/>
      <c r="I44" s="38" t="str">
        <f>IF(OR(C44="Yes"),Questions!C28,"")</f>
        <v/>
      </c>
      <c r="J44" s="52" t="str">
        <f>IF(OR(C44="Yes"),H44,"")</f>
        <v/>
      </c>
      <c r="K44" s="44"/>
    </row>
    <row r="45" spans="1:11" ht="75.75" customHeight="1" x14ac:dyDescent="0.25">
      <c r="A45" s="234"/>
      <c r="B45" s="105" t="str">
        <f>Questions!C11</f>
        <v>Will you incur new debt?</v>
      </c>
      <c r="C45" s="33"/>
      <c r="D45" s="72"/>
      <c r="E45" s="231" t="str">
        <f>IF(OR(C45="Yes"),Questions!C25,"")</f>
        <v/>
      </c>
      <c r="F45" s="231"/>
      <c r="G45" s="232"/>
      <c r="H45" s="92"/>
      <c r="I45" s="114" t="str">
        <f>IF(OR(C45="Yes"),Questions!C28,"")</f>
        <v/>
      </c>
      <c r="J45" s="53" t="str">
        <f>IF(OR(C45="Yes"),H45,"")</f>
        <v/>
      </c>
      <c r="K45" s="44"/>
    </row>
    <row r="46" spans="1:11" ht="75.75" customHeight="1" x14ac:dyDescent="0.25">
      <c r="A46" s="235"/>
      <c r="B46" s="108" t="str">
        <f>Questions!C12</f>
        <v>Do you have available cash on hand?</v>
      </c>
      <c r="C46" s="66"/>
      <c r="D46" s="72"/>
      <c r="E46" s="229" t="str">
        <f>IF(OR(C46="Yes"),Questions!C26,"")</f>
        <v/>
      </c>
      <c r="F46" s="229"/>
      <c r="G46" s="230"/>
      <c r="H46" s="32"/>
      <c r="I46" s="38" t="str">
        <f>IF(OR(C46="Yes"),Questions!C28,"")</f>
        <v/>
      </c>
      <c r="J46" s="52" t="str">
        <f>IF(OR(C46="Yes"),H46,"")</f>
        <v/>
      </c>
      <c r="K46" s="44"/>
    </row>
    <row r="47" spans="1:11" ht="75.75" customHeight="1" x14ac:dyDescent="0.25">
      <c r="A47" s="235"/>
      <c r="B47" s="59" t="s">
        <v>254</v>
      </c>
      <c r="C47" s="33"/>
      <c r="D47" s="72"/>
      <c r="E47" s="231" t="str">
        <f>IF(OR(C47="Yes"),Questions!C27,"")</f>
        <v/>
      </c>
      <c r="F47" s="231"/>
      <c r="G47" s="232"/>
      <c r="H47" s="107"/>
      <c r="I47" s="34" t="str">
        <f>IF(OR(C47="Yes"),Questions!C28,"")</f>
        <v/>
      </c>
      <c r="J47" s="47" t="str">
        <f>IF(OR(C47="Yes"),H47,"")</f>
        <v/>
      </c>
      <c r="K47" s="44"/>
    </row>
    <row r="48" spans="1:11" ht="75.75" customHeight="1" x14ac:dyDescent="0.25">
      <c r="A48" s="236"/>
      <c r="B48" s="61"/>
      <c r="C48" s="85"/>
      <c r="D48" s="58"/>
      <c r="E48" s="84" t="s">
        <v>93</v>
      </c>
      <c r="F48" s="65">
        <f>SUM(F35:F47)</f>
        <v>0</v>
      </c>
      <c r="G48" s="45" t="s">
        <v>98</v>
      </c>
      <c r="H48" s="65">
        <f>SUM(H35:H47)</f>
        <v>0</v>
      </c>
      <c r="I48" s="56" t="s">
        <v>99</v>
      </c>
      <c r="J48" s="57">
        <f>SUM(J35:J47)</f>
        <v>0</v>
      </c>
    </row>
    <row r="49" spans="10:10" x14ac:dyDescent="0.25">
      <c r="J49" s="25"/>
    </row>
  </sheetData>
  <mergeCells count="19">
    <mergeCell ref="C17:C18"/>
    <mergeCell ref="B30:B31"/>
    <mergeCell ref="C30:C31"/>
    <mergeCell ref="A1:J1"/>
    <mergeCell ref="E30:G30"/>
    <mergeCell ref="E31:G31"/>
    <mergeCell ref="A2:A14"/>
    <mergeCell ref="B2:B3"/>
    <mergeCell ref="A15:A33"/>
    <mergeCell ref="B15:B16"/>
    <mergeCell ref="B17:B18"/>
    <mergeCell ref="A35:A48"/>
    <mergeCell ref="B38:B39"/>
    <mergeCell ref="C38:C39"/>
    <mergeCell ref="E44:G44"/>
    <mergeCell ref="E45:G45"/>
    <mergeCell ref="E46:G46"/>
    <mergeCell ref="E43:G43"/>
    <mergeCell ref="E47:G47"/>
  </mergeCells>
  <dataValidations count="1">
    <dataValidation type="list" allowBlank="1" showInputMessage="1" showErrorMessage="1" sqref="C4:C13 C17:C32 C35:C38 C40:C47 F9" xr:uid="{2ED4BE99-BF39-4621-81E7-9C24429D62CE}">
      <formula1>"Yes,No"</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5841" r:id="rId4" name="CommandButton1">
          <controlPr defaultSize="0" autoLine="0" r:id="rId5">
            <anchor moveWithCells="1">
              <from>
                <xdr:col>2</xdr:col>
                <xdr:colOff>200025</xdr:colOff>
                <xdr:row>1</xdr:row>
                <xdr:rowOff>95250</xdr:rowOff>
              </from>
              <to>
                <xdr:col>2</xdr:col>
                <xdr:colOff>828675</xdr:colOff>
                <xdr:row>1</xdr:row>
                <xdr:rowOff>666750</xdr:rowOff>
              </to>
            </anchor>
          </controlPr>
        </control>
      </mc:Choice>
      <mc:Fallback>
        <control shapeId="35841" r:id="rId4" name="CommandButton1"/>
      </mc:Fallback>
    </mc:AlternateContent>
    <mc:AlternateContent xmlns:mc="http://schemas.openxmlformats.org/markup-compatibility/2006">
      <mc:Choice Requires="x14">
        <control shapeId="35842" r:id="rId6" name="CommandButton2">
          <controlPr defaultSize="0" autoLine="0" r:id="rId7">
            <anchor moveWithCells="1">
              <from>
                <xdr:col>2</xdr:col>
                <xdr:colOff>200025</xdr:colOff>
                <xdr:row>2</xdr:row>
                <xdr:rowOff>85725</xdr:rowOff>
              </from>
              <to>
                <xdr:col>2</xdr:col>
                <xdr:colOff>809625</xdr:colOff>
                <xdr:row>2</xdr:row>
                <xdr:rowOff>647700</xdr:rowOff>
              </to>
            </anchor>
          </controlPr>
        </control>
      </mc:Choice>
      <mc:Fallback>
        <control shapeId="35842" r:id="rId6" name="CommandButton2"/>
      </mc:Fallback>
    </mc:AlternateContent>
    <mc:AlternateContent xmlns:mc="http://schemas.openxmlformats.org/markup-compatibility/2006">
      <mc:Choice Requires="x14">
        <control shapeId="35843" r:id="rId8" name="CommandButton3">
          <controlPr defaultSize="0" autoLine="0" r:id="rId9">
            <anchor moveWithCells="1">
              <from>
                <xdr:col>2</xdr:col>
                <xdr:colOff>180975</xdr:colOff>
                <xdr:row>14</xdr:row>
                <xdr:rowOff>133350</xdr:rowOff>
              </from>
              <to>
                <xdr:col>2</xdr:col>
                <xdr:colOff>800100</xdr:colOff>
                <xdr:row>14</xdr:row>
                <xdr:rowOff>695325</xdr:rowOff>
              </to>
            </anchor>
          </controlPr>
        </control>
      </mc:Choice>
      <mc:Fallback>
        <control shapeId="35843" r:id="rId8" name="CommandButton3"/>
      </mc:Fallback>
    </mc:AlternateContent>
    <mc:AlternateContent xmlns:mc="http://schemas.openxmlformats.org/markup-compatibility/2006">
      <mc:Choice Requires="x14">
        <control shapeId="35844" r:id="rId10" name="CommandButton4">
          <controlPr defaultSize="0" autoLine="0" r:id="rId11">
            <anchor moveWithCells="1">
              <from>
                <xdr:col>2</xdr:col>
                <xdr:colOff>190500</xdr:colOff>
                <xdr:row>15</xdr:row>
                <xdr:rowOff>114300</xdr:rowOff>
              </from>
              <to>
                <xdr:col>2</xdr:col>
                <xdr:colOff>809625</xdr:colOff>
                <xdr:row>15</xdr:row>
                <xdr:rowOff>666750</xdr:rowOff>
              </to>
            </anchor>
          </controlPr>
        </control>
      </mc:Choice>
      <mc:Fallback>
        <control shapeId="35844" r:id="rId10" name="CommandButton4"/>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C87A5-5A8C-4200-936C-CDF3214A9299}">
  <sheetPr codeName="Sheet12">
    <tabColor theme="5" tint="-0.499984740745262"/>
  </sheetPr>
  <dimension ref="A1:K49"/>
  <sheetViews>
    <sheetView zoomScaleNormal="100" workbookViewId="0">
      <pane ySplit="1" topLeftCell="A2" activePane="bottomLeft" state="frozen"/>
      <selection activeCell="K3" sqref="K3"/>
      <selection pane="bottomLeft" activeCell="A2" sqref="A2:A14"/>
    </sheetView>
  </sheetViews>
  <sheetFormatPr defaultColWidth="9.140625" defaultRowHeight="15" x14ac:dyDescent="0.25"/>
  <cols>
    <col min="1" max="1" width="10.7109375" style="15" customWidth="1"/>
    <col min="2" max="2" width="28.140625" style="16" customWidth="1"/>
    <col min="3" max="3" width="14" style="17" customWidth="1"/>
    <col min="4" max="4" width="2.7109375" style="4" customWidth="1"/>
    <col min="5" max="5" width="28.42578125" style="17" customWidth="1"/>
    <col min="6" max="6" width="17.7109375" style="18" customWidth="1"/>
    <col min="7" max="7" width="31.140625" style="17" customWidth="1"/>
    <col min="8" max="8" width="17.7109375" style="18" customWidth="1"/>
    <col min="9" max="9" width="23.140625" style="25" customWidth="1"/>
    <col min="10" max="10" width="17.7109375" style="19" customWidth="1"/>
    <col min="11" max="11" width="22.7109375" style="4" bestFit="1" customWidth="1"/>
    <col min="12" max="16384" width="9.140625" style="4"/>
  </cols>
  <sheetData>
    <row r="1" spans="1:10" s="1" customFormat="1" ht="27.75" customHeight="1" thickTop="1" x14ac:dyDescent="0.25">
      <c r="A1" s="241" t="s">
        <v>172</v>
      </c>
      <c r="B1" s="242"/>
      <c r="C1" s="242"/>
      <c r="D1" s="242"/>
      <c r="E1" s="242"/>
      <c r="F1" s="242"/>
      <c r="G1" s="242"/>
      <c r="H1" s="242"/>
      <c r="I1" s="242"/>
      <c r="J1" s="242"/>
    </row>
    <row r="2" spans="1:10" ht="63" customHeight="1" x14ac:dyDescent="0.25">
      <c r="A2" s="249" t="s">
        <v>1</v>
      </c>
      <c r="B2" s="243" t="s">
        <v>11</v>
      </c>
      <c r="C2" s="66"/>
      <c r="D2" s="75"/>
      <c r="E2" s="2"/>
      <c r="F2" s="3"/>
      <c r="G2" s="2"/>
      <c r="H2" s="3"/>
      <c r="I2" s="24"/>
      <c r="J2" s="53"/>
    </row>
    <row r="3" spans="1:10" ht="63" customHeight="1" x14ac:dyDescent="0.25">
      <c r="A3" s="250"/>
      <c r="B3" s="244"/>
      <c r="C3" s="68"/>
      <c r="D3" s="76"/>
      <c r="E3" s="73" t="s">
        <v>87</v>
      </c>
      <c r="F3" s="11"/>
      <c r="G3" s="10"/>
      <c r="H3" s="11"/>
      <c r="I3" s="54"/>
      <c r="J3" s="55"/>
    </row>
    <row r="4" spans="1:10" ht="63" hidden="1" customHeight="1" x14ac:dyDescent="0.25">
      <c r="A4" s="250"/>
      <c r="B4" s="42" t="str">
        <f>Questions!A2</f>
        <v>Have commercial/industrial revenues been impacted?</v>
      </c>
      <c r="C4" s="68"/>
      <c r="D4" s="74"/>
      <c r="E4" s="30" t="str">
        <f>IF(OR(C4="Yes"),Questions!A3,"")</f>
        <v/>
      </c>
      <c r="F4" s="88" t="str">
        <f>IF(OR(C4="Yes"),'2019 Data'!D3,"")</f>
        <v/>
      </c>
      <c r="G4" s="30" t="str">
        <f>IF(OR(C4="Yes"),Questions!A4,"")</f>
        <v/>
      </c>
      <c r="H4" s="86"/>
      <c r="I4" s="70" t="str">
        <f>IF(OR(C4="Yes"),Questions!A5,"")</f>
        <v/>
      </c>
      <c r="J4" s="71" t="str">
        <f t="shared" ref="J4:J13" si="0">IF(OR(C4="Yes"),SUM(H4-F4),"")</f>
        <v/>
      </c>
    </row>
    <row r="5" spans="1:10" ht="63" hidden="1" customHeight="1" x14ac:dyDescent="0.25">
      <c r="A5" s="250"/>
      <c r="B5" s="60" t="str">
        <f>Questions!A6</f>
        <v>Have residential revenues been impacted?</v>
      </c>
      <c r="C5" s="33"/>
      <c r="D5" s="74"/>
      <c r="E5" s="6" t="str">
        <f>IF(OR(C5="Yes"),Questions!A7,"")</f>
        <v/>
      </c>
      <c r="F5" s="89" t="str">
        <f>IF(OR(C5="Yes"),'2019 Data'!D4,"")</f>
        <v/>
      </c>
      <c r="G5" s="6" t="str">
        <f>IF(OR(C5="Yes"),Questions!A8,"")</f>
        <v/>
      </c>
      <c r="H5" s="87"/>
      <c r="I5" s="34" t="str">
        <f>IF(OR(C5="Yes"),Questions!A9,"")</f>
        <v/>
      </c>
      <c r="J5" s="47" t="str">
        <f t="shared" si="0"/>
        <v/>
      </c>
    </row>
    <row r="6" spans="1:10" ht="63" hidden="1" customHeight="1" x14ac:dyDescent="0.25">
      <c r="A6" s="250"/>
      <c r="B6" s="42" t="str">
        <f>Questions!A10</f>
        <v>Do you sell wholesale water/wastewater treatment?</v>
      </c>
      <c r="C6" s="33"/>
      <c r="D6" s="74"/>
      <c r="E6" s="5" t="str">
        <f>IF(OR(C6="Yes"),Questions!A11,"")</f>
        <v/>
      </c>
      <c r="F6" s="88" t="str">
        <f>IF(OR(C6="Yes"),'2019 Data'!D5,"")</f>
        <v/>
      </c>
      <c r="G6" s="5" t="str">
        <f>IF(OR(C6="Yes"),Questions!A12,"")</f>
        <v/>
      </c>
      <c r="H6" s="87"/>
      <c r="I6" s="35" t="str">
        <f>IF(OR(C6="Yes"),Questions!A13,"")</f>
        <v/>
      </c>
      <c r="J6" s="46" t="str">
        <f t="shared" si="0"/>
        <v/>
      </c>
    </row>
    <row r="7" spans="1:10" ht="63" hidden="1" customHeight="1" x14ac:dyDescent="0.25">
      <c r="A7" s="250"/>
      <c r="B7" s="60" t="str">
        <f>Questions!A14</f>
        <v>Do you charge connection/tap fees?</v>
      </c>
      <c r="C7" s="33"/>
      <c r="D7" s="74"/>
      <c r="E7" s="6" t="str">
        <f>IF(OR(C7="Yes"),Questions!A15,"")</f>
        <v/>
      </c>
      <c r="F7" s="89" t="str">
        <f>IF(OR(C7="Yes"),'2019 Data'!D6,"")</f>
        <v/>
      </c>
      <c r="G7" s="6" t="str">
        <f>IF(OR(C7="Yes"),Questions!A16,"")</f>
        <v/>
      </c>
      <c r="H7" s="87"/>
      <c r="I7" s="34" t="str">
        <f>IF(OR(C7="Yes"),Questions!A17,"")</f>
        <v/>
      </c>
      <c r="J7" s="47" t="str">
        <f t="shared" si="0"/>
        <v/>
      </c>
    </row>
    <row r="8" spans="1:10" ht="63" hidden="1" customHeight="1" x14ac:dyDescent="0.25">
      <c r="A8" s="250"/>
      <c r="B8" s="42" t="str">
        <f>Questions!A18</f>
        <v>Are you suspending late fees?</v>
      </c>
      <c r="C8" s="33"/>
      <c r="D8" s="74"/>
      <c r="E8" s="5" t="str">
        <f>IF(OR(C8="Yes"),Questions!A19,"")</f>
        <v/>
      </c>
      <c r="F8" s="88" t="str">
        <f>IF(OR(C8="Yes"),'2019 Data'!D7,"")</f>
        <v/>
      </c>
      <c r="G8" s="5" t="str">
        <f>IF(OR(C8="Yes"),Questions!A20,"")</f>
        <v/>
      </c>
      <c r="H8" s="87"/>
      <c r="I8" s="35" t="str">
        <f>IF(OR(C8="Yes"),Questions!A21,"")</f>
        <v/>
      </c>
      <c r="J8" s="46" t="str">
        <f t="shared" si="0"/>
        <v/>
      </c>
    </row>
    <row r="9" spans="1:10" ht="63" hidden="1" customHeight="1" x14ac:dyDescent="0.25">
      <c r="A9" s="250"/>
      <c r="B9" s="95" t="str">
        <f>Questions!A22</f>
        <v>Are you suspending shutoffs?</v>
      </c>
      <c r="C9" s="33"/>
      <c r="D9" s="74"/>
      <c r="E9" s="6" t="str">
        <f>IF(OR(C9="Yes"),Questions!A23,"")</f>
        <v/>
      </c>
      <c r="F9" s="115"/>
      <c r="G9" s="6" t="str">
        <f>IF(OR(F9="Yes"),Questions!A24,"")</f>
        <v/>
      </c>
      <c r="H9" s="87"/>
      <c r="I9" s="34" t="str">
        <f>IF(OR(F9="Yes"),Questions!A25,"")</f>
        <v/>
      </c>
      <c r="J9" s="47" t="str">
        <f>IF(OR(F9="Yes"),-H9,"")</f>
        <v/>
      </c>
    </row>
    <row r="10" spans="1:10" ht="63" hidden="1" customHeight="1" x14ac:dyDescent="0.25">
      <c r="A10" s="250"/>
      <c r="B10" s="42" t="str">
        <f>Questions!A26</f>
        <v>Does your system receive tax revenue either directly or from a parent agency?</v>
      </c>
      <c r="C10" s="33"/>
      <c r="D10" s="74"/>
      <c r="E10" s="5" t="str">
        <f>IF(OR(C10="Yes"),Questions!A27,"")</f>
        <v/>
      </c>
      <c r="F10" s="88" t="str">
        <f>IF(OR(C10="Yes"),'2019 Data'!D8,"")</f>
        <v/>
      </c>
      <c r="G10" s="29" t="str">
        <f>IF(OR(C10="Yes"),Questions!A28,"")</f>
        <v/>
      </c>
      <c r="H10" s="87"/>
      <c r="I10" s="35" t="str">
        <f>IF(OR(C10="Yes"),Questions!A29,"")</f>
        <v/>
      </c>
      <c r="J10" s="46" t="str">
        <f t="shared" si="0"/>
        <v/>
      </c>
    </row>
    <row r="11" spans="1:10" ht="63" hidden="1" customHeight="1" x14ac:dyDescent="0.25">
      <c r="A11" s="250"/>
      <c r="B11" s="60" t="str">
        <f>Questions!A30</f>
        <v>Do you sell byproducts (e.g., biosolids, electricity, etc.)?</v>
      </c>
      <c r="C11" s="33"/>
      <c r="D11" s="74"/>
      <c r="E11" s="6" t="str">
        <f>IF(OR(C11="Yes"),Questions!A31,"")</f>
        <v/>
      </c>
      <c r="F11" s="89" t="str">
        <f>IF(OR(C11="Yes"),'2019 Data'!D9,"")</f>
        <v/>
      </c>
      <c r="G11" s="83" t="str">
        <f>IF(OR(C11="Yes"),Questions!A32,"")</f>
        <v/>
      </c>
      <c r="H11" s="87"/>
      <c r="I11" s="34" t="str">
        <f>IF(OR(C11="Yes"),Questions!A33,"")</f>
        <v/>
      </c>
      <c r="J11" s="47" t="str">
        <f t="shared" si="0"/>
        <v/>
      </c>
    </row>
    <row r="12" spans="1:10" ht="63" hidden="1" customHeight="1" x14ac:dyDescent="0.25">
      <c r="A12" s="250"/>
      <c r="B12" s="42" t="str">
        <f>Questions!A34</f>
        <v>Do you generate interest income from cash on hand?</v>
      </c>
      <c r="C12" s="33"/>
      <c r="D12" s="74"/>
      <c r="E12" s="5" t="str">
        <f>IF(OR(C12="Yes"),Questions!A35,"")</f>
        <v/>
      </c>
      <c r="F12" s="88" t="str">
        <f>IF(OR(C12="Yes"),'2019 Data'!D10,"")</f>
        <v/>
      </c>
      <c r="G12" s="30" t="str">
        <f>IF(OR(C12="Yes"),Questions!A36,"")</f>
        <v/>
      </c>
      <c r="H12" s="87"/>
      <c r="I12" s="35" t="str">
        <f>IF(OR(C12="Yes"),Questions!A37,"")</f>
        <v/>
      </c>
      <c r="J12" s="46" t="str">
        <f t="shared" si="0"/>
        <v/>
      </c>
    </row>
    <row r="13" spans="1:10" ht="63" hidden="1" customHeight="1" x14ac:dyDescent="0.25">
      <c r="A13" s="250"/>
      <c r="B13" s="62" t="str">
        <f>Questions!A38</f>
        <v>Do you have additional revenue streams that have not been identified?</v>
      </c>
      <c r="C13" s="66"/>
      <c r="D13" s="77"/>
      <c r="E13" s="7" t="str">
        <f>IF(OR(C13="Yes"),Questions!A39,"")</f>
        <v/>
      </c>
      <c r="F13" s="90" t="str">
        <f>IF(OR(C13="Yes"),'2019 Data'!D11,"")</f>
        <v/>
      </c>
      <c r="G13" s="6" t="str">
        <f>IF(OR(C13="Yes"),Questions!A40,"")</f>
        <v/>
      </c>
      <c r="H13" s="87"/>
      <c r="I13" s="34" t="str">
        <f>IF(OR(C13="Yes"),Questions!A41,"")</f>
        <v/>
      </c>
      <c r="J13" s="47" t="str">
        <f t="shared" si="0"/>
        <v/>
      </c>
    </row>
    <row r="14" spans="1:10" ht="63" hidden="1" customHeight="1" x14ac:dyDescent="0.25">
      <c r="A14" s="251"/>
      <c r="B14" s="78"/>
      <c r="C14" s="29"/>
      <c r="D14" s="79"/>
      <c r="E14" s="8" t="s">
        <v>0</v>
      </c>
      <c r="F14" s="48">
        <f>SUM(F2:F13)</f>
        <v>0</v>
      </c>
      <c r="G14" s="8" t="s">
        <v>102</v>
      </c>
      <c r="H14" s="48">
        <f>SUM(H2:H13)</f>
        <v>0</v>
      </c>
      <c r="I14" s="28" t="s">
        <v>100</v>
      </c>
      <c r="J14" s="48">
        <f>SUM(J2:J13)</f>
        <v>0</v>
      </c>
    </row>
    <row r="15" spans="1:10" ht="63" customHeight="1" x14ac:dyDescent="0.25">
      <c r="A15" s="252" t="s">
        <v>9</v>
      </c>
      <c r="B15" s="245" t="s">
        <v>298</v>
      </c>
      <c r="C15" s="66"/>
      <c r="D15" s="75"/>
      <c r="E15" s="2"/>
      <c r="F15" s="3"/>
      <c r="G15" s="2"/>
      <c r="H15" s="3"/>
      <c r="I15" s="24"/>
      <c r="J15" s="53"/>
    </row>
    <row r="16" spans="1:10" ht="63" customHeight="1" x14ac:dyDescent="0.25">
      <c r="A16" s="253"/>
      <c r="B16" s="246"/>
      <c r="C16" s="67"/>
      <c r="D16" s="77"/>
      <c r="E16" s="98" t="s">
        <v>245</v>
      </c>
      <c r="F16" s="11"/>
      <c r="G16" s="10"/>
      <c r="H16" s="11"/>
      <c r="I16" s="54"/>
      <c r="J16" s="55"/>
    </row>
    <row r="17" spans="1:11" ht="63" hidden="1" customHeight="1" x14ac:dyDescent="0.25">
      <c r="A17" s="253"/>
      <c r="B17" s="247" t="str">
        <f>Questions!B2</f>
        <v>Have your labor costs, regular and overtime, changed?</v>
      </c>
      <c r="C17" s="239"/>
      <c r="D17" s="75"/>
      <c r="E17" s="9" t="str">
        <f>IF(OR(C17="Yes"),Questions!B3,"")</f>
        <v/>
      </c>
      <c r="F17" s="91" t="str">
        <f>IF(OR(C17="Yes"),'2019 Data'!D13,"")</f>
        <v/>
      </c>
      <c r="G17" s="9" t="str">
        <f>IF(OR(C17="Yes"),Questions!B4,"")</f>
        <v/>
      </c>
      <c r="H17" s="87"/>
      <c r="I17" s="36" t="str">
        <f>IF(OR(C17="Yes"),Questions!B5,"")</f>
        <v/>
      </c>
      <c r="J17" s="50" t="str">
        <f>IF(OR(C17="Yes"),SUM(H17-F17),"")</f>
        <v/>
      </c>
    </row>
    <row r="18" spans="1:11" ht="63" hidden="1" customHeight="1" x14ac:dyDescent="0.25">
      <c r="A18" s="253"/>
      <c r="B18" s="248"/>
      <c r="C18" s="240"/>
      <c r="D18" s="77"/>
      <c r="E18" s="9" t="str">
        <f>IF(OR(C17="Yes"),Questions!B6,"")</f>
        <v/>
      </c>
      <c r="F18" s="91" t="str">
        <f>IF(OR(C17="Yes"),'2019 Data'!D14,"")</f>
        <v/>
      </c>
      <c r="G18" s="9" t="str">
        <f>IF(OR(C17="Yes"),Questions!B7,"")</f>
        <v/>
      </c>
      <c r="H18" s="87"/>
      <c r="I18" s="36" t="str">
        <f>IF(OR(C17="Yes"),Questions!B8,"")</f>
        <v/>
      </c>
      <c r="J18" s="50" t="str">
        <f>IF(OR(C17="Yes"),SUM(H18-F18),"")</f>
        <v/>
      </c>
    </row>
    <row r="19" spans="1:11" ht="63" hidden="1" customHeight="1" x14ac:dyDescent="0.25">
      <c r="A19" s="253"/>
      <c r="B19" s="95" t="str">
        <f>Questions!B9</f>
        <v>Do you purchase water for resale?</v>
      </c>
      <c r="C19" s="33"/>
      <c r="D19" s="72"/>
      <c r="E19" s="10" t="str">
        <f>IF(OR(C19="Yes"),Questions!B10,"")</f>
        <v/>
      </c>
      <c r="F19" s="89" t="str">
        <f>IF(OR(C19="Yes"),'2019 Data'!D15,"")</f>
        <v/>
      </c>
      <c r="G19" s="10" t="str">
        <f>IF(OR(C19="Yes"),Questions!B11,"")</f>
        <v/>
      </c>
      <c r="H19" s="87"/>
      <c r="I19" s="34" t="str">
        <f>IF(OR(C19="Yes"),Questions!B12,"")</f>
        <v/>
      </c>
      <c r="J19" s="47" t="str">
        <f t="shared" ref="J19:J22" si="1">IF(OR(C19="Yes"),SUM(H19-F19),"")</f>
        <v/>
      </c>
    </row>
    <row r="20" spans="1:11" ht="63" hidden="1" customHeight="1" x14ac:dyDescent="0.25">
      <c r="A20" s="253"/>
      <c r="B20" s="97" t="s">
        <v>193</v>
      </c>
      <c r="C20" s="33"/>
      <c r="D20" s="72"/>
      <c r="E20" s="69" t="str">
        <f>IF(OR(C20="Yes"),Questions!B14,"")</f>
        <v/>
      </c>
      <c r="F20" s="91" t="str">
        <f>IF(OR(C20="Yes"),'2019 Data'!D16,"")</f>
        <v/>
      </c>
      <c r="G20" s="69" t="str">
        <f>IF(OR(C20="Yes"),Questions!B15,"")</f>
        <v/>
      </c>
      <c r="H20" s="87"/>
      <c r="I20" s="36" t="str">
        <f>IF(OR(C20="Yes"),Questions!B16,"")</f>
        <v/>
      </c>
      <c r="J20" s="50" t="str">
        <f t="shared" si="1"/>
        <v/>
      </c>
    </row>
    <row r="21" spans="1:11" ht="63" hidden="1" customHeight="1" x14ac:dyDescent="0.25">
      <c r="A21" s="253"/>
      <c r="B21" s="95" t="str">
        <f>Questions!B17</f>
        <v>Have your chemical usages changed?</v>
      </c>
      <c r="C21" s="33"/>
      <c r="D21" s="72"/>
      <c r="E21" s="6" t="str">
        <f>IF(OR(C21="Yes"),Questions!B18,"")</f>
        <v/>
      </c>
      <c r="F21" s="89" t="str">
        <f>IF(OR(C21="Yes"),'2019 Data'!D17,"")</f>
        <v/>
      </c>
      <c r="G21" s="6" t="str">
        <f>IF(OR(C21="Yes"),Questions!B19,"")</f>
        <v/>
      </c>
      <c r="H21" s="87"/>
      <c r="I21" s="34" t="str">
        <f>IF(OR(C21="Yes"),Questions!B20,"")</f>
        <v/>
      </c>
      <c r="J21" s="47" t="str">
        <f t="shared" si="1"/>
        <v/>
      </c>
    </row>
    <row r="22" spans="1:11" ht="63" hidden="1" customHeight="1" x14ac:dyDescent="0.25">
      <c r="A22" s="253"/>
      <c r="B22" s="97" t="str">
        <f>Questions!B21</f>
        <v>Have your disposal costs changed?</v>
      </c>
      <c r="C22" s="33"/>
      <c r="D22" s="72"/>
      <c r="E22" s="9" t="str">
        <f>IF(OR(C22="Yes"),Questions!B22,"")</f>
        <v/>
      </c>
      <c r="F22" s="91" t="str">
        <f>IF(OR(C22="Yes"),'2019 Data'!D18,"")</f>
        <v/>
      </c>
      <c r="G22" s="9" t="str">
        <f>IF(OR(C22="Yes"),Questions!B23,"")</f>
        <v/>
      </c>
      <c r="H22" s="87"/>
      <c r="I22" s="36" t="str">
        <f>IF(OR(C22="Yes"),Questions!B24,"")</f>
        <v/>
      </c>
      <c r="J22" s="50" t="str">
        <f t="shared" si="1"/>
        <v/>
      </c>
    </row>
    <row r="23" spans="1:11" ht="63" hidden="1" customHeight="1" x14ac:dyDescent="0.25">
      <c r="A23" s="253"/>
      <c r="B23" s="60" t="str">
        <f>Questions!B25</f>
        <v>Have your testing expenses changed?</v>
      </c>
      <c r="C23" s="33"/>
      <c r="D23" s="72"/>
      <c r="E23" s="6" t="str">
        <f>IF(OR(C23="Yes"),Questions!B26,"")</f>
        <v/>
      </c>
      <c r="F23" s="89" t="str">
        <f>IF(OR(C23="Yes"),'2019 Data'!D19,"")</f>
        <v/>
      </c>
      <c r="G23" s="6" t="str">
        <f>IF(OR(C23="Yes"),Questions!B27,"")</f>
        <v/>
      </c>
      <c r="H23" s="87"/>
      <c r="I23" s="34" t="str">
        <f>IF(OR(C23="Yes"),Questions!B28,"")</f>
        <v/>
      </c>
      <c r="J23" s="47" t="str">
        <f t="shared" ref="J23:J30" si="2">IF(OR(C23="Yes"),SUM(H23-F23),"")</f>
        <v/>
      </c>
    </row>
    <row r="24" spans="1:11" ht="63" hidden="1" customHeight="1" x14ac:dyDescent="0.25">
      <c r="A24" s="253"/>
      <c r="B24" s="64" t="str">
        <f>Questions!B29</f>
        <v>Has there been a change in the system's energy bill?</v>
      </c>
      <c r="C24" s="33"/>
      <c r="D24" s="72"/>
      <c r="E24" s="9" t="str">
        <f>IF(OR(C24="Yes"),Questions!B30,"")</f>
        <v/>
      </c>
      <c r="F24" s="91" t="str">
        <f>IF(OR(C24="Yes"),'2019 Data'!D20,"")</f>
        <v/>
      </c>
      <c r="G24" s="9" t="str">
        <f>IF(OR(C24="Yes"),Questions!B31,"")</f>
        <v/>
      </c>
      <c r="H24" s="87"/>
      <c r="I24" s="36" t="str">
        <f>IF(OR(C24="Yes"),Questions!B32,"")</f>
        <v/>
      </c>
      <c r="J24" s="50" t="str">
        <f t="shared" si="2"/>
        <v/>
      </c>
    </row>
    <row r="25" spans="1:11" ht="63" hidden="1" customHeight="1" x14ac:dyDescent="0.25">
      <c r="A25" s="253"/>
      <c r="B25" s="60" t="str">
        <f>Questions!B33</f>
        <v>Has there been a change in the system's other utility services?</v>
      </c>
      <c r="C25" s="33"/>
      <c r="D25" s="72"/>
      <c r="E25" s="7" t="str">
        <f>IF(OR(C25="Yes"),Questions!B34,"")</f>
        <v/>
      </c>
      <c r="F25" s="90" t="str">
        <f>IF(OR(C25="Yes"),'2019 Data'!D21,"")</f>
        <v/>
      </c>
      <c r="G25" s="6" t="str">
        <f>IF(OR(C25="Yes"),Questions!B35,"")</f>
        <v/>
      </c>
      <c r="H25" s="87"/>
      <c r="I25" s="34" t="str">
        <f>IF(OR(C25="Yes"),Questions!B36,"")</f>
        <v/>
      </c>
      <c r="J25" s="47" t="str">
        <f t="shared" si="2"/>
        <v/>
      </c>
    </row>
    <row r="26" spans="1:11" ht="63" hidden="1" customHeight="1" x14ac:dyDescent="0.25">
      <c r="A26" s="253"/>
      <c r="B26" s="64" t="str">
        <f>Questions!B37</f>
        <v>Has there been a change in use of supplies (supply chains)?</v>
      </c>
      <c r="C26" s="33"/>
      <c r="D26" s="72"/>
      <c r="E26" s="9" t="str">
        <f>IF(OR(C26="Yes"),Questions!B38,"")</f>
        <v/>
      </c>
      <c r="F26" s="91" t="str">
        <f>IF(OR(C26="Yes"),'2019 Data'!D22,"")</f>
        <v/>
      </c>
      <c r="G26" s="9" t="str">
        <f>IF(OR(C26="Yes"),Questions!B39,"")</f>
        <v/>
      </c>
      <c r="H26" s="87"/>
      <c r="I26" s="36" t="str">
        <f>IF(OR(C26="Yes"),Questions!B40,"")</f>
        <v/>
      </c>
      <c r="J26" s="50" t="str">
        <f t="shared" si="2"/>
        <v/>
      </c>
    </row>
    <row r="27" spans="1:11" ht="63" hidden="1" customHeight="1" x14ac:dyDescent="0.25">
      <c r="A27" s="253"/>
      <c r="B27" s="60" t="str">
        <f>Questions!B41</f>
        <v>Has there been a change in supplying uniforms/attire?</v>
      </c>
      <c r="C27" s="33"/>
      <c r="D27" s="72"/>
      <c r="E27" s="6" t="str">
        <f>IF(OR(C27="Yes"),Questions!B42,"")</f>
        <v/>
      </c>
      <c r="F27" s="89" t="str">
        <f>IF(OR(C27="Yes"),'2019 Data'!D23,"")</f>
        <v/>
      </c>
      <c r="G27" s="6" t="str">
        <f>IF(OR(C27="Yes"),Questions!B43,"")</f>
        <v/>
      </c>
      <c r="H27" s="87"/>
      <c r="I27" s="34" t="str">
        <f>IF(OR(C27="Yes"),Questions!B44,"")</f>
        <v/>
      </c>
      <c r="J27" s="47" t="str">
        <f t="shared" si="2"/>
        <v/>
      </c>
    </row>
    <row r="28" spans="1:11" ht="63" hidden="1" customHeight="1" x14ac:dyDescent="0.25">
      <c r="A28" s="253"/>
      <c r="B28" s="64" t="str">
        <f>Questions!B45</f>
        <v>Has there been a change in supplying Personal Protection Equipment (PPE) or other materials, such as cloth masks?</v>
      </c>
      <c r="C28" s="33"/>
      <c r="D28" s="72"/>
      <c r="E28" s="9" t="str">
        <f>IF(OR(C28="Yes"),Questions!B46,"")</f>
        <v/>
      </c>
      <c r="F28" s="91" t="str">
        <f>IF(OR(C28="Yes"),'2019 Data'!D24,"")</f>
        <v/>
      </c>
      <c r="G28" s="9" t="str">
        <f>IF(OR(C28="Yes"),Questions!B47,"")</f>
        <v/>
      </c>
      <c r="H28" s="87"/>
      <c r="I28" s="36" t="str">
        <f>IF(OR(C28="Yes"),Questions!B48,"")</f>
        <v/>
      </c>
      <c r="J28" s="50" t="str">
        <f t="shared" si="2"/>
        <v/>
      </c>
    </row>
    <row r="29" spans="1:11" ht="63" hidden="1" customHeight="1" x14ac:dyDescent="0.25">
      <c r="A29" s="253"/>
      <c r="B29" s="60" t="str">
        <f>Questions!B49</f>
        <v>Do you expect a change in the system's interest expenses?</v>
      </c>
      <c r="C29" s="33"/>
      <c r="D29" s="72"/>
      <c r="E29" s="2" t="str">
        <f>IF(OR(C29="Yes"),Questions!B50,"")</f>
        <v/>
      </c>
      <c r="F29" s="89" t="str">
        <f>IF(OR(C29="Yes"),'2019 Data'!D25,"")</f>
        <v/>
      </c>
      <c r="G29" s="2" t="str">
        <f>IF(OR(C29="Yes"),Questions!B51,"")</f>
        <v/>
      </c>
      <c r="H29" s="87"/>
      <c r="I29" s="34" t="str">
        <f>IF(OR(C29="Yes"),Questions!B52,"")</f>
        <v/>
      </c>
      <c r="J29" s="47" t="str">
        <f t="shared" si="2"/>
        <v/>
      </c>
    </row>
    <row r="30" spans="1:11" ht="63" hidden="1" customHeight="1" x14ac:dyDescent="0.25">
      <c r="A30" s="253"/>
      <c r="B30" s="247" t="str">
        <f>Questions!B53</f>
        <v>Have you incurred new expenses as a result of COVID-19?</v>
      </c>
      <c r="C30" s="239"/>
      <c r="D30" s="75"/>
      <c r="E30" s="255" t="str">
        <f>IF(OR(C30="Yes"),Questions!B54,"")</f>
        <v/>
      </c>
      <c r="F30" s="255"/>
      <c r="G30" s="256"/>
      <c r="H30" s="87"/>
      <c r="I30" s="36"/>
      <c r="J30" s="50" t="str">
        <f t="shared" si="2"/>
        <v/>
      </c>
      <c r="K30" s="44"/>
    </row>
    <row r="31" spans="1:11" ht="63" hidden="1" customHeight="1" x14ac:dyDescent="0.25">
      <c r="A31" s="253"/>
      <c r="B31" s="248"/>
      <c r="C31" s="240"/>
      <c r="D31" s="74"/>
      <c r="E31" s="255" t="str">
        <f>IF(OR(C30="Yes"),Questions!B57,"")</f>
        <v/>
      </c>
      <c r="F31" s="255"/>
      <c r="G31" s="256"/>
      <c r="H31" s="87"/>
      <c r="I31" s="36" t="str">
        <f>IF(OR(C31="Yes"),Questions!B51,"")</f>
        <v/>
      </c>
      <c r="J31" s="50" t="str">
        <f>IF(OR(C30="Yes"),SUM(H30-F30),"")</f>
        <v/>
      </c>
      <c r="K31" s="44"/>
    </row>
    <row r="32" spans="1:11" ht="63" hidden="1" customHeight="1" x14ac:dyDescent="0.25">
      <c r="A32" s="253"/>
      <c r="B32" s="62" t="str">
        <f>Questions!B58</f>
        <v>Do you have additional expenses that have not been identified?</v>
      </c>
      <c r="C32" s="33"/>
      <c r="D32" s="72"/>
      <c r="E32" s="10" t="str">
        <f>IF(OR(C32="Yes"),Questions!B59,"")</f>
        <v/>
      </c>
      <c r="F32" s="89" t="str">
        <f>IF(OR(C32="Yes"),'2019 Data'!D26,"")</f>
        <v/>
      </c>
      <c r="G32" s="10" t="str">
        <f>IF(OR(C32="Yes"),Questions!B60,"")</f>
        <v/>
      </c>
      <c r="H32" s="87"/>
      <c r="I32" s="34" t="str">
        <f>IF(OR(C32="Yes"),Questions!B61,"")</f>
        <v/>
      </c>
      <c r="J32" s="47" t="str">
        <f>IF(OR(C32="Yes"),SUM(H32-F32),"")</f>
        <v/>
      </c>
    </row>
    <row r="33" spans="1:11" ht="63" hidden="1" customHeight="1" x14ac:dyDescent="0.25">
      <c r="A33" s="254"/>
      <c r="B33" s="63"/>
      <c r="C33" s="9"/>
      <c r="D33" s="80"/>
      <c r="E33" s="12" t="s">
        <v>2</v>
      </c>
      <c r="F33" s="51">
        <f>SUM(F17:F32)</f>
        <v>0</v>
      </c>
      <c r="G33" s="12" t="s">
        <v>78</v>
      </c>
      <c r="H33" s="51">
        <f>SUM(H17:H32)</f>
        <v>0</v>
      </c>
      <c r="I33" s="26" t="s">
        <v>103</v>
      </c>
      <c r="J33" s="51">
        <f>SUM(J17:J32)</f>
        <v>0</v>
      </c>
    </row>
    <row r="34" spans="1:11" ht="63" customHeight="1" x14ac:dyDescent="0.25">
      <c r="A34" s="43" t="s">
        <v>18</v>
      </c>
      <c r="B34" s="59"/>
      <c r="C34" s="2"/>
      <c r="D34" s="82"/>
      <c r="E34" s="13" t="s">
        <v>3</v>
      </c>
      <c r="F34" s="49">
        <f>F14-F33</f>
        <v>0</v>
      </c>
      <c r="G34" s="14" t="s">
        <v>77</v>
      </c>
      <c r="H34" s="49">
        <f>H14-H33</f>
        <v>0</v>
      </c>
      <c r="I34" s="27" t="s">
        <v>4</v>
      </c>
      <c r="J34" s="49">
        <f>J14-J33</f>
        <v>0</v>
      </c>
    </row>
    <row r="35" spans="1:11" ht="75.75" customHeight="1" x14ac:dyDescent="0.25">
      <c r="A35" s="233" t="s">
        <v>13</v>
      </c>
      <c r="B35" s="81" t="str">
        <f>Questions!C2</f>
        <v>Has there been, or do you expect, a change in Accounts receivable?</v>
      </c>
      <c r="C35" s="33"/>
      <c r="D35" s="72"/>
      <c r="E35" s="113" t="str">
        <f>IF(OR(C35="Yes"),Questions!C13,"")</f>
        <v/>
      </c>
      <c r="F35" s="112" t="str">
        <f>IF(OR(C35="Yes"),'2019 Data'!D28,"")</f>
        <v/>
      </c>
      <c r="G35" s="111" t="str">
        <f>IF(OR(C35="Yes"),Questions!C14,"")</f>
        <v/>
      </c>
      <c r="H35" s="92"/>
      <c r="I35" s="38" t="str">
        <f>IF(OR(C35="Yes"),Questions!C28,"")</f>
        <v/>
      </c>
      <c r="J35" s="52" t="str">
        <f>IF(OR(C35="Yes"),SUM(F35-H35),"")</f>
        <v/>
      </c>
      <c r="K35" s="17"/>
    </row>
    <row r="36" spans="1:11" ht="75.75" customHeight="1" x14ac:dyDescent="0.25">
      <c r="A36" s="234"/>
      <c r="B36" s="96" t="str">
        <f>Questions!C3</f>
        <v>Has there been, or do you expect, a change in Accounts payable?</v>
      </c>
      <c r="C36" s="33"/>
      <c r="D36" s="72"/>
      <c r="E36" s="83" t="str">
        <f>IF(OR(C36="Yes"),Questions!C13,"")</f>
        <v/>
      </c>
      <c r="F36" s="93" t="str">
        <f>IF(OR(C36="Yes"),'2019 Data'!D29,"")</f>
        <v/>
      </c>
      <c r="G36" s="31" t="str">
        <f>IF(OR(C36="Yes"),Questions!C14,"")</f>
        <v/>
      </c>
      <c r="H36" s="92"/>
      <c r="I36" s="34" t="str">
        <f>IF(OR(C36="Yes"),Questions!C28,"")</f>
        <v/>
      </c>
      <c r="J36" s="47" t="str">
        <f>IF(OR(C36="Yes"),SUM(H36-F36),"")</f>
        <v/>
      </c>
    </row>
    <row r="37" spans="1:11" ht="75.75" customHeight="1" x14ac:dyDescent="0.25">
      <c r="A37" s="234"/>
      <c r="B37" s="81" t="str">
        <f>Questions!C4</f>
        <v>Will you delay pension fund contributions?</v>
      </c>
      <c r="C37" s="33"/>
      <c r="D37" s="72"/>
      <c r="E37" s="109" t="str">
        <f>IF(OR(C37="Yes"),Questions!C13,"")</f>
        <v/>
      </c>
      <c r="F37" s="110" t="str">
        <f>IF(OR(C37="Yes"),'2019 Data'!D30,"")</f>
        <v/>
      </c>
      <c r="G37" s="111" t="str">
        <f>IF(OR(C37="Yes"),Questions!C14,"")</f>
        <v/>
      </c>
      <c r="H37" s="92"/>
      <c r="I37" s="38" t="str">
        <f>IF(OR(C37="Yes"),Questions!C28,"")</f>
        <v/>
      </c>
      <c r="J37" s="52" t="str">
        <f>IF(OR(C37="Yes"),SUM(F37-H37),"")</f>
        <v/>
      </c>
      <c r="K37" s="44"/>
    </row>
    <row r="38" spans="1:11" ht="75.75" customHeight="1" x14ac:dyDescent="0.25">
      <c r="A38" s="234"/>
      <c r="B38" s="237" t="str">
        <f>Questions!C5</f>
        <v>Are there inter-agency funds transfers that have occurred, or that will occur?</v>
      </c>
      <c r="C38" s="239"/>
      <c r="D38" s="75"/>
      <c r="E38" s="83" t="str">
        <f>IF(OR(C38="Yes"),Questions!C15,"")</f>
        <v/>
      </c>
      <c r="F38" s="93" t="str">
        <f>IF(OR(C38="Yes"),'2019 Data'!D31,"")</f>
        <v/>
      </c>
      <c r="G38" s="31" t="str">
        <f>IF(OR(C38="Yes"),Questions!C16,"")</f>
        <v/>
      </c>
      <c r="H38" s="92"/>
      <c r="I38" s="34" t="str">
        <f>IF(OR(C38="Yes"),Questions!C28,"")</f>
        <v/>
      </c>
      <c r="J38" s="47" t="str">
        <f>IF(OR(C38="Yes"),SUM(F38-H38),"")</f>
        <v/>
      </c>
      <c r="K38" s="44"/>
    </row>
    <row r="39" spans="1:11" ht="75.75" customHeight="1" x14ac:dyDescent="0.25">
      <c r="A39" s="234"/>
      <c r="B39" s="238"/>
      <c r="C39" s="240"/>
      <c r="D39" s="74"/>
      <c r="E39" s="83" t="str">
        <f>IF(OR(C38="Yes"),Questions!C17,"")</f>
        <v/>
      </c>
      <c r="F39" s="93" t="str">
        <f>IF(OR(C38="Yes"),'2019 Data'!D32,"")</f>
        <v/>
      </c>
      <c r="G39" s="31" t="str">
        <f>IF(OR(C38="Yes"),Questions!C18,"")</f>
        <v/>
      </c>
      <c r="H39" s="92"/>
      <c r="I39" s="34" t="str">
        <f>IF(OR(C38="Yes"),Questions!C28,"")</f>
        <v/>
      </c>
      <c r="J39" s="47" t="str">
        <f>IF(OR(C38="Yes"),SUM(H39-F39),"")</f>
        <v/>
      </c>
      <c r="K39" s="44"/>
    </row>
    <row r="40" spans="1:11" ht="75.75" customHeight="1" x14ac:dyDescent="0.25">
      <c r="A40" s="234"/>
      <c r="B40" s="106" t="str">
        <f>Questions!C6</f>
        <v>Has there been, or do you expect, a change in the system's rate structure such as a delay in implementing a rate increase or temporary rate reductions?</v>
      </c>
      <c r="C40" s="33"/>
      <c r="D40" s="72"/>
      <c r="E40" s="58" t="str">
        <f>IF(OR(C40="Yes"),Questions!C19,"")</f>
        <v/>
      </c>
      <c r="F40" s="94" t="str">
        <f>IF(OR(C40="Yes"),'2019 Data'!D33,"")</f>
        <v/>
      </c>
      <c r="G40" s="37" t="str">
        <f>IF(OR(C40="Yes"),Questions!C20,"")</f>
        <v/>
      </c>
      <c r="H40" s="92"/>
      <c r="I40" s="38" t="str">
        <f>IF(OR(C40="Yes"),Questions!C28,"")</f>
        <v/>
      </c>
      <c r="J40" s="52" t="str">
        <f>IF(OR(C40="Yes"),SUM(H40-F40),"")</f>
        <v/>
      </c>
    </row>
    <row r="41" spans="1:11" ht="75.75" customHeight="1" x14ac:dyDescent="0.25">
      <c r="A41" s="234"/>
      <c r="B41" s="105" t="str">
        <f>Questions!C7</f>
        <v>Do you have a rate stabilization fund?</v>
      </c>
      <c r="C41" s="33"/>
      <c r="D41" s="72"/>
      <c r="E41" s="83" t="str">
        <f>IF(OR(C41="Yes"),Questions!C21,"")</f>
        <v/>
      </c>
      <c r="F41" s="93" t="str">
        <f>IF(OR(C41="Yes"),'2019 Data'!D34,"")</f>
        <v/>
      </c>
      <c r="G41" s="31" t="str">
        <f>IF(OR(C41="Yes"),Questions!C22,"")</f>
        <v/>
      </c>
      <c r="H41" s="92"/>
      <c r="I41" s="34" t="str">
        <f>IF(OR(C41="Yes"),Questions!C28,"")</f>
        <v/>
      </c>
      <c r="J41" s="47" t="str">
        <f>IF(OR(C41="Yes"),SUM(H41-F41),"")</f>
        <v/>
      </c>
    </row>
    <row r="42" spans="1:11" ht="75.75" customHeight="1" x14ac:dyDescent="0.25">
      <c r="A42" s="234"/>
      <c r="B42" s="106" t="str">
        <f>Questions!C8</f>
        <v>Has there been, or do you expect, a change in budgeted capital expenditures?</v>
      </c>
      <c r="C42" s="33"/>
      <c r="D42" s="72"/>
      <c r="E42" s="109" t="str">
        <f>IF(OR(C42="Yes"),Questions!C23,"")</f>
        <v/>
      </c>
      <c r="F42" s="110" t="str">
        <f>IF(OR(C42="Yes"),'2019 Data'!D35,"")</f>
        <v/>
      </c>
      <c r="G42" s="37" t="str">
        <f>IF(OR(C42="Yes"),Questions!C24,"")</f>
        <v/>
      </c>
      <c r="H42" s="92"/>
      <c r="I42" s="38" t="str">
        <f>IF(OR(C42="Yes"),Questions!C28,"")</f>
        <v/>
      </c>
      <c r="J42" s="52" t="str">
        <f>IF(OR(C42="Yes"),SUM(F42-H42),"")</f>
        <v/>
      </c>
      <c r="K42" s="44"/>
    </row>
    <row r="43" spans="1:11" ht="75.75" customHeight="1" x14ac:dyDescent="0.25">
      <c r="A43" s="234"/>
      <c r="B43" s="105" t="str">
        <f>Questions!C9</f>
        <v>Are there, or do you expect, a change in expenditures due to delayed construction projects?</v>
      </c>
      <c r="C43" s="33"/>
      <c r="D43" s="72"/>
      <c r="E43" s="231" t="str">
        <f>IF(OR(C43="Yes"),Questions!C25,"")</f>
        <v/>
      </c>
      <c r="F43" s="231"/>
      <c r="G43" s="232"/>
      <c r="H43" s="92"/>
      <c r="I43" s="34" t="str">
        <f>IF(OR(C43="Yes"),Questions!C28,"")</f>
        <v/>
      </c>
      <c r="J43" s="47" t="str">
        <f>IF(OR(C43="Yes"),H43,"")</f>
        <v/>
      </c>
      <c r="K43" s="44"/>
    </row>
    <row r="44" spans="1:11" ht="75.75" customHeight="1" x14ac:dyDescent="0.25">
      <c r="A44" s="234"/>
      <c r="B44" s="106" t="str">
        <f>Questions!C10</f>
        <v>Will you attempt to restructure existing debt?</v>
      </c>
      <c r="C44" s="33"/>
      <c r="D44" s="72"/>
      <c r="E44" s="229" t="str">
        <f>IF(OR(C44="Yes"),Questions!C25,"")</f>
        <v/>
      </c>
      <c r="F44" s="229"/>
      <c r="G44" s="230"/>
      <c r="H44" s="92"/>
      <c r="I44" s="38" t="str">
        <f>IF(OR(C44="Yes"),Questions!C28,"")</f>
        <v/>
      </c>
      <c r="J44" s="52" t="str">
        <f>IF(OR(C44="Yes"),H44,"")</f>
        <v/>
      </c>
      <c r="K44" s="44"/>
    </row>
    <row r="45" spans="1:11" ht="75.75" customHeight="1" x14ac:dyDescent="0.25">
      <c r="A45" s="234"/>
      <c r="B45" s="105" t="str">
        <f>Questions!C11</f>
        <v>Will you incur new debt?</v>
      </c>
      <c r="C45" s="33"/>
      <c r="D45" s="72"/>
      <c r="E45" s="231" t="str">
        <f>IF(OR(C45="Yes"),Questions!C25,"")</f>
        <v/>
      </c>
      <c r="F45" s="231"/>
      <c r="G45" s="232"/>
      <c r="H45" s="92"/>
      <c r="I45" s="114" t="str">
        <f>IF(OR(C45="Yes"),Questions!C28,"")</f>
        <v/>
      </c>
      <c r="J45" s="53" t="str">
        <f>IF(OR(C45="Yes"),H45,"")</f>
        <v/>
      </c>
      <c r="K45" s="44"/>
    </row>
    <row r="46" spans="1:11" ht="75.75" customHeight="1" x14ac:dyDescent="0.25">
      <c r="A46" s="235"/>
      <c r="B46" s="108" t="str">
        <f>Questions!C12</f>
        <v>Do you have available cash on hand?</v>
      </c>
      <c r="C46" s="66"/>
      <c r="D46" s="72"/>
      <c r="E46" s="229" t="str">
        <f>IF(OR(C46="Yes"),Questions!C26,"")</f>
        <v/>
      </c>
      <c r="F46" s="229"/>
      <c r="G46" s="230"/>
      <c r="H46" s="32"/>
      <c r="I46" s="38" t="str">
        <f>IF(OR(C46="Yes"),Questions!C28,"")</f>
        <v/>
      </c>
      <c r="J46" s="52" t="str">
        <f>IF(OR(C46="Yes"),H46,"")</f>
        <v/>
      </c>
      <c r="K46" s="44"/>
    </row>
    <row r="47" spans="1:11" ht="75.75" customHeight="1" x14ac:dyDescent="0.25">
      <c r="A47" s="235"/>
      <c r="B47" s="59" t="s">
        <v>254</v>
      </c>
      <c r="C47" s="33"/>
      <c r="D47" s="72"/>
      <c r="E47" s="231" t="str">
        <f>IF(OR(C47="Yes"),Questions!C27,"")</f>
        <v/>
      </c>
      <c r="F47" s="231"/>
      <c r="G47" s="232"/>
      <c r="H47" s="107"/>
      <c r="I47" s="34" t="str">
        <f>IF(OR(C47="Yes"),Questions!C28,"")</f>
        <v/>
      </c>
      <c r="J47" s="47" t="str">
        <f>IF(OR(C47="Yes"),H47,"")</f>
        <v/>
      </c>
      <c r="K47" s="44"/>
    </row>
    <row r="48" spans="1:11" ht="75.75" customHeight="1" x14ac:dyDescent="0.25">
      <c r="A48" s="236"/>
      <c r="B48" s="61"/>
      <c r="C48" s="85"/>
      <c r="D48" s="58"/>
      <c r="E48" s="84" t="s">
        <v>93</v>
      </c>
      <c r="F48" s="65">
        <f>SUM(F35:F47)</f>
        <v>0</v>
      </c>
      <c r="G48" s="45" t="s">
        <v>98</v>
      </c>
      <c r="H48" s="65">
        <f>SUM(H35:H47)</f>
        <v>0</v>
      </c>
      <c r="I48" s="56" t="s">
        <v>99</v>
      </c>
      <c r="J48" s="57">
        <f>SUM(J35:J47)</f>
        <v>0</v>
      </c>
    </row>
    <row r="49" spans="10:10" x14ac:dyDescent="0.25">
      <c r="J49" s="25"/>
    </row>
  </sheetData>
  <mergeCells count="19">
    <mergeCell ref="C17:C18"/>
    <mergeCell ref="B30:B31"/>
    <mergeCell ref="C30:C31"/>
    <mergeCell ref="A1:J1"/>
    <mergeCell ref="E30:G30"/>
    <mergeCell ref="E31:G31"/>
    <mergeCell ref="A2:A14"/>
    <mergeCell ref="B2:B3"/>
    <mergeCell ref="A15:A33"/>
    <mergeCell ref="B15:B16"/>
    <mergeCell ref="B17:B18"/>
    <mergeCell ref="A35:A48"/>
    <mergeCell ref="B38:B39"/>
    <mergeCell ref="C38:C39"/>
    <mergeCell ref="E44:G44"/>
    <mergeCell ref="E45:G45"/>
    <mergeCell ref="E46:G46"/>
    <mergeCell ref="E43:G43"/>
    <mergeCell ref="E47:G47"/>
  </mergeCells>
  <dataValidations count="1">
    <dataValidation type="list" allowBlank="1" showInputMessage="1" showErrorMessage="1" sqref="C4:C13 C17:C32 C35:C38 C40:C47 F9" xr:uid="{3A1973A9-032E-4F06-9C86-AE096799FE2C}">
      <formula1>"Yes,No"</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6865" r:id="rId4" name="CommandButton1">
          <controlPr defaultSize="0" autoLine="0" r:id="rId5">
            <anchor moveWithCells="1">
              <from>
                <xdr:col>2</xdr:col>
                <xdr:colOff>200025</xdr:colOff>
                <xdr:row>1</xdr:row>
                <xdr:rowOff>95250</xdr:rowOff>
              </from>
              <to>
                <xdr:col>2</xdr:col>
                <xdr:colOff>828675</xdr:colOff>
                <xdr:row>1</xdr:row>
                <xdr:rowOff>666750</xdr:rowOff>
              </to>
            </anchor>
          </controlPr>
        </control>
      </mc:Choice>
      <mc:Fallback>
        <control shapeId="36865" r:id="rId4" name="CommandButton1"/>
      </mc:Fallback>
    </mc:AlternateContent>
    <mc:AlternateContent xmlns:mc="http://schemas.openxmlformats.org/markup-compatibility/2006">
      <mc:Choice Requires="x14">
        <control shapeId="36866" r:id="rId6" name="CommandButton2">
          <controlPr defaultSize="0" autoLine="0" r:id="rId7">
            <anchor moveWithCells="1">
              <from>
                <xdr:col>2</xdr:col>
                <xdr:colOff>200025</xdr:colOff>
                <xdr:row>2</xdr:row>
                <xdr:rowOff>85725</xdr:rowOff>
              </from>
              <to>
                <xdr:col>2</xdr:col>
                <xdr:colOff>809625</xdr:colOff>
                <xdr:row>2</xdr:row>
                <xdr:rowOff>647700</xdr:rowOff>
              </to>
            </anchor>
          </controlPr>
        </control>
      </mc:Choice>
      <mc:Fallback>
        <control shapeId="36866" r:id="rId6" name="CommandButton2"/>
      </mc:Fallback>
    </mc:AlternateContent>
    <mc:AlternateContent xmlns:mc="http://schemas.openxmlformats.org/markup-compatibility/2006">
      <mc:Choice Requires="x14">
        <control shapeId="36867" r:id="rId8" name="CommandButton3">
          <controlPr defaultSize="0" autoLine="0" r:id="rId9">
            <anchor moveWithCells="1">
              <from>
                <xdr:col>2</xdr:col>
                <xdr:colOff>180975</xdr:colOff>
                <xdr:row>14</xdr:row>
                <xdr:rowOff>133350</xdr:rowOff>
              </from>
              <to>
                <xdr:col>2</xdr:col>
                <xdr:colOff>800100</xdr:colOff>
                <xdr:row>14</xdr:row>
                <xdr:rowOff>695325</xdr:rowOff>
              </to>
            </anchor>
          </controlPr>
        </control>
      </mc:Choice>
      <mc:Fallback>
        <control shapeId="36867" r:id="rId8" name="CommandButton3"/>
      </mc:Fallback>
    </mc:AlternateContent>
    <mc:AlternateContent xmlns:mc="http://schemas.openxmlformats.org/markup-compatibility/2006">
      <mc:Choice Requires="x14">
        <control shapeId="36868" r:id="rId10" name="CommandButton4">
          <controlPr defaultSize="0" autoLine="0" r:id="rId11">
            <anchor moveWithCells="1">
              <from>
                <xdr:col>2</xdr:col>
                <xdr:colOff>190500</xdr:colOff>
                <xdr:row>15</xdr:row>
                <xdr:rowOff>114300</xdr:rowOff>
              </from>
              <to>
                <xdr:col>2</xdr:col>
                <xdr:colOff>809625</xdr:colOff>
                <xdr:row>15</xdr:row>
                <xdr:rowOff>666750</xdr:rowOff>
              </to>
            </anchor>
          </controlPr>
        </control>
      </mc:Choice>
      <mc:Fallback>
        <control shapeId="36868" r:id="rId10" name="CommandButton4"/>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4678C-C6C7-4C95-90FB-1D9D3F8F88AD}">
  <sheetPr codeName="Sheet13">
    <tabColor theme="1"/>
  </sheetPr>
  <dimension ref="A1:K49"/>
  <sheetViews>
    <sheetView zoomScaleNormal="100" workbookViewId="0">
      <pane ySplit="1" topLeftCell="A2" activePane="bottomLeft" state="frozen"/>
      <selection activeCell="K3" sqref="K3"/>
      <selection pane="bottomLeft" activeCell="A2" sqref="A2:A14"/>
    </sheetView>
  </sheetViews>
  <sheetFormatPr defaultColWidth="9.140625" defaultRowHeight="15" x14ac:dyDescent="0.25"/>
  <cols>
    <col min="1" max="1" width="10.7109375" style="15" customWidth="1"/>
    <col min="2" max="2" width="28.140625" style="16" customWidth="1"/>
    <col min="3" max="3" width="14" style="17" customWidth="1"/>
    <col min="4" max="4" width="2.7109375" style="4" customWidth="1"/>
    <col min="5" max="5" width="28.42578125" style="17" customWidth="1"/>
    <col min="6" max="6" width="17.7109375" style="18" customWidth="1"/>
    <col min="7" max="7" width="31.140625" style="17" customWidth="1"/>
    <col min="8" max="8" width="17.7109375" style="18" customWidth="1"/>
    <col min="9" max="9" width="23.140625" style="25" customWidth="1"/>
    <col min="10" max="10" width="17.7109375" style="19" customWidth="1"/>
    <col min="11" max="11" width="22.7109375" style="4" bestFit="1" customWidth="1"/>
    <col min="12" max="16384" width="9.140625" style="4"/>
  </cols>
  <sheetData>
    <row r="1" spans="1:10" s="1" customFormat="1" ht="27.75" customHeight="1" thickTop="1" x14ac:dyDescent="0.25">
      <c r="A1" s="241" t="s">
        <v>173</v>
      </c>
      <c r="B1" s="242"/>
      <c r="C1" s="242"/>
      <c r="D1" s="242"/>
      <c r="E1" s="242"/>
      <c r="F1" s="242"/>
      <c r="G1" s="242"/>
      <c r="H1" s="242"/>
      <c r="I1" s="242"/>
      <c r="J1" s="242"/>
    </row>
    <row r="2" spans="1:10" ht="63" customHeight="1" x14ac:dyDescent="0.25">
      <c r="A2" s="249" t="s">
        <v>1</v>
      </c>
      <c r="B2" s="243" t="s">
        <v>11</v>
      </c>
      <c r="C2" s="66"/>
      <c r="D2" s="75"/>
      <c r="E2" s="2"/>
      <c r="F2" s="3"/>
      <c r="G2" s="2"/>
      <c r="H2" s="3"/>
      <c r="I2" s="24"/>
      <c r="J2" s="53"/>
    </row>
    <row r="3" spans="1:10" ht="63" customHeight="1" x14ac:dyDescent="0.25">
      <c r="A3" s="250"/>
      <c r="B3" s="244"/>
      <c r="C3" s="68"/>
      <c r="D3" s="76"/>
      <c r="E3" s="73" t="s">
        <v>87</v>
      </c>
      <c r="F3" s="11"/>
      <c r="G3" s="10"/>
      <c r="H3" s="11"/>
      <c r="I3" s="54"/>
      <c r="J3" s="55"/>
    </row>
    <row r="4" spans="1:10" ht="63" hidden="1" customHeight="1" x14ac:dyDescent="0.25">
      <c r="A4" s="250"/>
      <c r="B4" s="42" t="str">
        <f>Questions!A2</f>
        <v>Have commercial/industrial revenues been impacted?</v>
      </c>
      <c r="C4" s="68"/>
      <c r="D4" s="74"/>
      <c r="E4" s="30" t="str">
        <f>IF(OR(C4="Yes"),Questions!A3,"")</f>
        <v/>
      </c>
      <c r="F4" s="88" t="str">
        <f>IF(OR(C4="Yes"),'2019 Data'!D3,"")</f>
        <v/>
      </c>
      <c r="G4" s="30" t="str">
        <f>IF(OR(C4="Yes"),Questions!A4,"")</f>
        <v/>
      </c>
      <c r="H4" s="86"/>
      <c r="I4" s="70" t="str">
        <f>IF(OR(C4="Yes"),Questions!A5,"")</f>
        <v/>
      </c>
      <c r="J4" s="71" t="str">
        <f t="shared" ref="J4:J13" si="0">IF(OR(C4="Yes"),SUM(H4-F4),"")</f>
        <v/>
      </c>
    </row>
    <row r="5" spans="1:10" ht="63" hidden="1" customHeight="1" x14ac:dyDescent="0.25">
      <c r="A5" s="250"/>
      <c r="B5" s="60" t="str">
        <f>Questions!A6</f>
        <v>Have residential revenues been impacted?</v>
      </c>
      <c r="C5" s="33"/>
      <c r="D5" s="74"/>
      <c r="E5" s="6" t="str">
        <f>IF(OR(C5="Yes"),Questions!A7,"")</f>
        <v/>
      </c>
      <c r="F5" s="89" t="str">
        <f>IF(OR(C5="Yes"),'2019 Data'!D4,"")</f>
        <v/>
      </c>
      <c r="G5" s="6" t="str">
        <f>IF(OR(C5="Yes"),Questions!A8,"")</f>
        <v/>
      </c>
      <c r="H5" s="87"/>
      <c r="I5" s="34" t="str">
        <f>IF(OR(C5="Yes"),Questions!A9,"")</f>
        <v/>
      </c>
      <c r="J5" s="47" t="str">
        <f t="shared" si="0"/>
        <v/>
      </c>
    </row>
    <row r="6" spans="1:10" ht="63" hidden="1" customHeight="1" x14ac:dyDescent="0.25">
      <c r="A6" s="250"/>
      <c r="B6" s="42" t="str">
        <f>Questions!A10</f>
        <v>Do you sell wholesale water/wastewater treatment?</v>
      </c>
      <c r="C6" s="33"/>
      <c r="D6" s="74"/>
      <c r="E6" s="5" t="str">
        <f>IF(OR(C6="Yes"),Questions!A11,"")</f>
        <v/>
      </c>
      <c r="F6" s="88" t="str">
        <f>IF(OR(C6="Yes"),'2019 Data'!D5,"")</f>
        <v/>
      </c>
      <c r="G6" s="5" t="str">
        <f>IF(OR(C6="Yes"),Questions!A12,"")</f>
        <v/>
      </c>
      <c r="H6" s="87"/>
      <c r="I6" s="35" t="str">
        <f>IF(OR(C6="Yes"),Questions!A13,"")</f>
        <v/>
      </c>
      <c r="J6" s="46" t="str">
        <f t="shared" si="0"/>
        <v/>
      </c>
    </row>
    <row r="7" spans="1:10" ht="63" hidden="1" customHeight="1" x14ac:dyDescent="0.25">
      <c r="A7" s="250"/>
      <c r="B7" s="60" t="str">
        <f>Questions!A14</f>
        <v>Do you charge connection/tap fees?</v>
      </c>
      <c r="C7" s="33"/>
      <c r="D7" s="74"/>
      <c r="E7" s="6" t="str">
        <f>IF(OR(C7="Yes"),Questions!A15,"")</f>
        <v/>
      </c>
      <c r="F7" s="89" t="str">
        <f>IF(OR(C7="Yes"),'2019 Data'!D6,"")</f>
        <v/>
      </c>
      <c r="G7" s="6" t="str">
        <f>IF(OR(C7="Yes"),Questions!A16,"")</f>
        <v/>
      </c>
      <c r="H7" s="87"/>
      <c r="I7" s="34" t="str">
        <f>IF(OR(C7="Yes"),Questions!A17,"")</f>
        <v/>
      </c>
      <c r="J7" s="47" t="str">
        <f t="shared" si="0"/>
        <v/>
      </c>
    </row>
    <row r="8" spans="1:10" ht="63" hidden="1" customHeight="1" x14ac:dyDescent="0.25">
      <c r="A8" s="250"/>
      <c r="B8" s="42" t="str">
        <f>Questions!A18</f>
        <v>Are you suspending late fees?</v>
      </c>
      <c r="C8" s="33"/>
      <c r="D8" s="74"/>
      <c r="E8" s="5" t="str">
        <f>IF(OR(C8="Yes"),Questions!A19,"")</f>
        <v/>
      </c>
      <c r="F8" s="88" t="str">
        <f>IF(OR(C8="Yes"),'2019 Data'!D7,"")</f>
        <v/>
      </c>
      <c r="G8" s="5" t="str">
        <f>IF(OR(C8="Yes"),Questions!A20,"")</f>
        <v/>
      </c>
      <c r="H8" s="87"/>
      <c r="I8" s="35" t="str">
        <f>IF(OR(C8="Yes"),Questions!A21,"")</f>
        <v/>
      </c>
      <c r="J8" s="46" t="str">
        <f t="shared" si="0"/>
        <v/>
      </c>
    </row>
    <row r="9" spans="1:10" ht="63" hidden="1" customHeight="1" x14ac:dyDescent="0.25">
      <c r="A9" s="250"/>
      <c r="B9" s="95" t="str">
        <f>Questions!A22</f>
        <v>Are you suspending shutoffs?</v>
      </c>
      <c r="C9" s="33"/>
      <c r="D9" s="74"/>
      <c r="E9" s="6" t="str">
        <f>IF(OR(C9="Yes"),Questions!A23,"")</f>
        <v/>
      </c>
      <c r="F9" s="115"/>
      <c r="G9" s="6" t="str">
        <f>IF(OR(F9="Yes"),Questions!A24,"")</f>
        <v/>
      </c>
      <c r="H9" s="87"/>
      <c r="I9" s="34" t="str">
        <f>IF(OR(F9="Yes"),Questions!A25,"")</f>
        <v/>
      </c>
      <c r="J9" s="47" t="str">
        <f>IF(OR(F9="Yes"),-H9,"")</f>
        <v/>
      </c>
    </row>
    <row r="10" spans="1:10" ht="63" hidden="1" customHeight="1" x14ac:dyDescent="0.25">
      <c r="A10" s="250"/>
      <c r="B10" s="42" t="str">
        <f>Questions!A26</f>
        <v>Does your system receive tax revenue either directly or from a parent agency?</v>
      </c>
      <c r="C10" s="33"/>
      <c r="D10" s="74"/>
      <c r="E10" s="5" t="str">
        <f>IF(OR(C10="Yes"),Questions!A27,"")</f>
        <v/>
      </c>
      <c r="F10" s="88" t="str">
        <f>IF(OR(C10="Yes"),'2019 Data'!D8,"")</f>
        <v/>
      </c>
      <c r="G10" s="29" t="str">
        <f>IF(OR(C10="Yes"),Questions!A28,"")</f>
        <v/>
      </c>
      <c r="H10" s="87"/>
      <c r="I10" s="35" t="str">
        <f>IF(OR(C10="Yes"),Questions!A29,"")</f>
        <v/>
      </c>
      <c r="J10" s="46" t="str">
        <f t="shared" si="0"/>
        <v/>
      </c>
    </row>
    <row r="11" spans="1:10" ht="63" hidden="1" customHeight="1" x14ac:dyDescent="0.25">
      <c r="A11" s="250"/>
      <c r="B11" s="60" t="str">
        <f>Questions!A30</f>
        <v>Do you sell byproducts (e.g., biosolids, electricity, etc.)?</v>
      </c>
      <c r="C11" s="33"/>
      <c r="D11" s="74"/>
      <c r="E11" s="6" t="str">
        <f>IF(OR(C11="Yes"),Questions!A31,"")</f>
        <v/>
      </c>
      <c r="F11" s="89" t="str">
        <f>IF(OR(C11="Yes"),'2019 Data'!D9,"")</f>
        <v/>
      </c>
      <c r="G11" s="83" t="str">
        <f>IF(OR(C11="Yes"),Questions!A32,"")</f>
        <v/>
      </c>
      <c r="H11" s="87"/>
      <c r="I11" s="34" t="str">
        <f>IF(OR(C11="Yes"),Questions!A33,"")</f>
        <v/>
      </c>
      <c r="J11" s="47" t="str">
        <f t="shared" si="0"/>
        <v/>
      </c>
    </row>
    <row r="12" spans="1:10" ht="63" hidden="1" customHeight="1" x14ac:dyDescent="0.25">
      <c r="A12" s="250"/>
      <c r="B12" s="42" t="str">
        <f>Questions!A34</f>
        <v>Do you generate interest income from cash on hand?</v>
      </c>
      <c r="C12" s="33"/>
      <c r="D12" s="74"/>
      <c r="E12" s="5" t="str">
        <f>IF(OR(C12="Yes"),Questions!A35,"")</f>
        <v/>
      </c>
      <c r="F12" s="88" t="str">
        <f>IF(OR(C12="Yes"),'2019 Data'!D10,"")</f>
        <v/>
      </c>
      <c r="G12" s="30" t="str">
        <f>IF(OR(C12="Yes"),Questions!A36,"")</f>
        <v/>
      </c>
      <c r="H12" s="87"/>
      <c r="I12" s="35" t="str">
        <f>IF(OR(C12="Yes"),Questions!A37,"")</f>
        <v/>
      </c>
      <c r="J12" s="46" t="str">
        <f t="shared" si="0"/>
        <v/>
      </c>
    </row>
    <row r="13" spans="1:10" ht="63" hidden="1" customHeight="1" x14ac:dyDescent="0.25">
      <c r="A13" s="250"/>
      <c r="B13" s="62" t="str">
        <f>Questions!A38</f>
        <v>Do you have additional revenue streams that have not been identified?</v>
      </c>
      <c r="C13" s="66"/>
      <c r="D13" s="77"/>
      <c r="E13" s="7" t="str">
        <f>IF(OR(C13="Yes"),Questions!A39,"")</f>
        <v/>
      </c>
      <c r="F13" s="90" t="str">
        <f>IF(OR(C13="Yes"),'2019 Data'!D11,"")</f>
        <v/>
      </c>
      <c r="G13" s="6" t="str">
        <f>IF(OR(C13="Yes"),Questions!A40,"")</f>
        <v/>
      </c>
      <c r="H13" s="87"/>
      <c r="I13" s="34" t="str">
        <f>IF(OR(C13="Yes"),Questions!A41,"")</f>
        <v/>
      </c>
      <c r="J13" s="47" t="str">
        <f t="shared" si="0"/>
        <v/>
      </c>
    </row>
    <row r="14" spans="1:10" ht="63" hidden="1" customHeight="1" x14ac:dyDescent="0.25">
      <c r="A14" s="251"/>
      <c r="B14" s="78"/>
      <c r="C14" s="29"/>
      <c r="D14" s="79"/>
      <c r="E14" s="8" t="s">
        <v>0</v>
      </c>
      <c r="F14" s="48">
        <f>SUM(F2:F13)</f>
        <v>0</v>
      </c>
      <c r="G14" s="8" t="s">
        <v>102</v>
      </c>
      <c r="H14" s="48">
        <f>SUM(H2:H13)</f>
        <v>0</v>
      </c>
      <c r="I14" s="28" t="s">
        <v>100</v>
      </c>
      <c r="J14" s="48">
        <f>SUM(J2:J13)</f>
        <v>0</v>
      </c>
    </row>
    <row r="15" spans="1:10" ht="63" customHeight="1" x14ac:dyDescent="0.25">
      <c r="A15" s="252" t="s">
        <v>9</v>
      </c>
      <c r="B15" s="245" t="s">
        <v>298</v>
      </c>
      <c r="C15" s="66"/>
      <c r="D15" s="75"/>
      <c r="E15" s="2"/>
      <c r="F15" s="3"/>
      <c r="G15" s="2"/>
      <c r="H15" s="3"/>
      <c r="I15" s="24"/>
      <c r="J15" s="53"/>
    </row>
    <row r="16" spans="1:10" ht="63" customHeight="1" x14ac:dyDescent="0.25">
      <c r="A16" s="253"/>
      <c r="B16" s="246"/>
      <c r="C16" s="67"/>
      <c r="D16" s="77"/>
      <c r="E16" s="98" t="s">
        <v>245</v>
      </c>
      <c r="F16" s="11"/>
      <c r="G16" s="10"/>
      <c r="H16" s="11"/>
      <c r="I16" s="54"/>
      <c r="J16" s="55"/>
    </row>
    <row r="17" spans="1:11" ht="63" hidden="1" customHeight="1" x14ac:dyDescent="0.25">
      <c r="A17" s="253"/>
      <c r="B17" s="247" t="str">
        <f>Questions!B2</f>
        <v>Have your labor costs, regular and overtime, changed?</v>
      </c>
      <c r="C17" s="239"/>
      <c r="D17" s="75"/>
      <c r="E17" s="9" t="str">
        <f>IF(OR(C17="Yes"),Questions!B3,"")</f>
        <v/>
      </c>
      <c r="F17" s="91" t="str">
        <f>IF(OR(C17="Yes"),'2019 Data'!D13,"")</f>
        <v/>
      </c>
      <c r="G17" s="9" t="str">
        <f>IF(OR(C17="Yes"),Questions!B4,"")</f>
        <v/>
      </c>
      <c r="H17" s="87"/>
      <c r="I17" s="36" t="str">
        <f>IF(OR(C17="Yes"),Questions!B5,"")</f>
        <v/>
      </c>
      <c r="J17" s="50" t="str">
        <f>IF(OR(C17="Yes"),SUM(H17-F17),"")</f>
        <v/>
      </c>
    </row>
    <row r="18" spans="1:11" ht="63" hidden="1" customHeight="1" x14ac:dyDescent="0.25">
      <c r="A18" s="253"/>
      <c r="B18" s="248"/>
      <c r="C18" s="240"/>
      <c r="D18" s="77"/>
      <c r="E18" s="9" t="str">
        <f>IF(OR(C17="Yes"),Questions!B6,"")</f>
        <v/>
      </c>
      <c r="F18" s="91" t="str">
        <f>IF(OR(C17="Yes"),'2019 Data'!D14,"")</f>
        <v/>
      </c>
      <c r="G18" s="9" t="str">
        <f>IF(OR(C17="Yes"),Questions!B7,"")</f>
        <v/>
      </c>
      <c r="H18" s="87"/>
      <c r="I18" s="36" t="str">
        <f>IF(OR(C17="Yes"),Questions!B8,"")</f>
        <v/>
      </c>
      <c r="J18" s="50" t="str">
        <f>IF(OR(C17="Yes"),SUM(H18-F18),"")</f>
        <v/>
      </c>
    </row>
    <row r="19" spans="1:11" ht="63" hidden="1" customHeight="1" x14ac:dyDescent="0.25">
      <c r="A19" s="253"/>
      <c r="B19" s="95" t="str">
        <f>Questions!B9</f>
        <v>Do you purchase water for resale?</v>
      </c>
      <c r="C19" s="33"/>
      <c r="D19" s="72"/>
      <c r="E19" s="10" t="str">
        <f>IF(OR(C19="Yes"),Questions!B10,"")</f>
        <v/>
      </c>
      <c r="F19" s="89" t="str">
        <f>IF(OR(C19="Yes"),'2019 Data'!D15,"")</f>
        <v/>
      </c>
      <c r="G19" s="10" t="str">
        <f>IF(OR(C19="Yes"),Questions!B11,"")</f>
        <v/>
      </c>
      <c r="H19" s="87"/>
      <c r="I19" s="34" t="str">
        <f>IF(OR(C19="Yes"),Questions!B12,"")</f>
        <v/>
      </c>
      <c r="J19" s="47" t="str">
        <f t="shared" ref="J19:J22" si="1">IF(OR(C19="Yes"),SUM(H19-F19),"")</f>
        <v/>
      </c>
    </row>
    <row r="20" spans="1:11" ht="63" hidden="1" customHeight="1" x14ac:dyDescent="0.25">
      <c r="A20" s="253"/>
      <c r="B20" s="97" t="s">
        <v>193</v>
      </c>
      <c r="C20" s="33"/>
      <c r="D20" s="72"/>
      <c r="E20" s="69" t="str">
        <f>IF(OR(C20="Yes"),Questions!B14,"")</f>
        <v/>
      </c>
      <c r="F20" s="91" t="str">
        <f>IF(OR(C20="Yes"),'2019 Data'!D16,"")</f>
        <v/>
      </c>
      <c r="G20" s="69" t="str">
        <f>IF(OR(C20="Yes"),Questions!B15,"")</f>
        <v/>
      </c>
      <c r="H20" s="87"/>
      <c r="I20" s="36" t="str">
        <f>IF(OR(C20="Yes"),Questions!B16,"")</f>
        <v/>
      </c>
      <c r="J20" s="50" t="str">
        <f t="shared" si="1"/>
        <v/>
      </c>
    </row>
    <row r="21" spans="1:11" ht="63" hidden="1" customHeight="1" x14ac:dyDescent="0.25">
      <c r="A21" s="253"/>
      <c r="B21" s="95" t="str">
        <f>Questions!B17</f>
        <v>Have your chemical usages changed?</v>
      </c>
      <c r="C21" s="33"/>
      <c r="D21" s="72"/>
      <c r="E21" s="6" t="str">
        <f>IF(OR(C21="Yes"),Questions!B18,"")</f>
        <v/>
      </c>
      <c r="F21" s="89" t="str">
        <f>IF(OR(C21="Yes"),'2019 Data'!D17,"")</f>
        <v/>
      </c>
      <c r="G21" s="6" t="str">
        <f>IF(OR(C21="Yes"),Questions!B19,"")</f>
        <v/>
      </c>
      <c r="H21" s="87"/>
      <c r="I21" s="34" t="str">
        <f>IF(OR(C21="Yes"),Questions!B20,"")</f>
        <v/>
      </c>
      <c r="J21" s="47" t="str">
        <f t="shared" si="1"/>
        <v/>
      </c>
    </row>
    <row r="22" spans="1:11" ht="63" hidden="1" customHeight="1" x14ac:dyDescent="0.25">
      <c r="A22" s="253"/>
      <c r="B22" s="97" t="str">
        <f>Questions!B21</f>
        <v>Have your disposal costs changed?</v>
      </c>
      <c r="C22" s="33"/>
      <c r="D22" s="72"/>
      <c r="E22" s="9" t="str">
        <f>IF(OR(C22="Yes"),Questions!B22,"")</f>
        <v/>
      </c>
      <c r="F22" s="91" t="str">
        <f>IF(OR(C22="Yes"),'2019 Data'!D18,"")</f>
        <v/>
      </c>
      <c r="G22" s="9" t="str">
        <f>IF(OR(C22="Yes"),Questions!B23,"")</f>
        <v/>
      </c>
      <c r="H22" s="87"/>
      <c r="I22" s="36" t="str">
        <f>IF(OR(C22="Yes"),Questions!B24,"")</f>
        <v/>
      </c>
      <c r="J22" s="50" t="str">
        <f t="shared" si="1"/>
        <v/>
      </c>
    </row>
    <row r="23" spans="1:11" ht="63" hidden="1" customHeight="1" x14ac:dyDescent="0.25">
      <c r="A23" s="253"/>
      <c r="B23" s="60" t="str">
        <f>Questions!B25</f>
        <v>Have your testing expenses changed?</v>
      </c>
      <c r="C23" s="33"/>
      <c r="D23" s="72"/>
      <c r="E23" s="6" t="str">
        <f>IF(OR(C23="Yes"),Questions!B26,"")</f>
        <v/>
      </c>
      <c r="F23" s="89" t="str">
        <f>IF(OR(C23="Yes"),'2019 Data'!D19,"")</f>
        <v/>
      </c>
      <c r="G23" s="6" t="str">
        <f>IF(OR(C23="Yes"),Questions!B27,"")</f>
        <v/>
      </c>
      <c r="H23" s="87"/>
      <c r="I23" s="34" t="str">
        <f>IF(OR(C23="Yes"),Questions!B28,"")</f>
        <v/>
      </c>
      <c r="J23" s="47" t="str">
        <f t="shared" ref="J23:J30" si="2">IF(OR(C23="Yes"),SUM(H23-F23),"")</f>
        <v/>
      </c>
    </row>
    <row r="24" spans="1:11" ht="63" hidden="1" customHeight="1" x14ac:dyDescent="0.25">
      <c r="A24" s="253"/>
      <c r="B24" s="64" t="str">
        <f>Questions!B29</f>
        <v>Has there been a change in the system's energy bill?</v>
      </c>
      <c r="C24" s="33"/>
      <c r="D24" s="72"/>
      <c r="E24" s="9" t="str">
        <f>IF(OR(C24="Yes"),Questions!B30,"")</f>
        <v/>
      </c>
      <c r="F24" s="91" t="str">
        <f>IF(OR(C24="Yes"),'2019 Data'!D20,"")</f>
        <v/>
      </c>
      <c r="G24" s="9" t="str">
        <f>IF(OR(C24="Yes"),Questions!B31,"")</f>
        <v/>
      </c>
      <c r="H24" s="87"/>
      <c r="I24" s="36" t="str">
        <f>IF(OR(C24="Yes"),Questions!B32,"")</f>
        <v/>
      </c>
      <c r="J24" s="50" t="str">
        <f t="shared" si="2"/>
        <v/>
      </c>
    </row>
    <row r="25" spans="1:11" ht="63" hidden="1" customHeight="1" x14ac:dyDescent="0.25">
      <c r="A25" s="253"/>
      <c r="B25" s="60" t="str">
        <f>Questions!B33</f>
        <v>Has there been a change in the system's other utility services?</v>
      </c>
      <c r="C25" s="33"/>
      <c r="D25" s="72"/>
      <c r="E25" s="7" t="str">
        <f>IF(OR(C25="Yes"),Questions!B34,"")</f>
        <v/>
      </c>
      <c r="F25" s="90" t="str">
        <f>IF(OR(C25="Yes"),'2019 Data'!D21,"")</f>
        <v/>
      </c>
      <c r="G25" s="6" t="str">
        <f>IF(OR(C25="Yes"),Questions!B35,"")</f>
        <v/>
      </c>
      <c r="H25" s="87"/>
      <c r="I25" s="34" t="str">
        <f>IF(OR(C25="Yes"),Questions!B36,"")</f>
        <v/>
      </c>
      <c r="J25" s="47" t="str">
        <f t="shared" si="2"/>
        <v/>
      </c>
    </row>
    <row r="26" spans="1:11" ht="63" hidden="1" customHeight="1" x14ac:dyDescent="0.25">
      <c r="A26" s="253"/>
      <c r="B26" s="64" t="str">
        <f>Questions!B37</f>
        <v>Has there been a change in use of supplies (supply chains)?</v>
      </c>
      <c r="C26" s="33"/>
      <c r="D26" s="72"/>
      <c r="E26" s="9" t="str">
        <f>IF(OR(C26="Yes"),Questions!B38,"")</f>
        <v/>
      </c>
      <c r="F26" s="91" t="str">
        <f>IF(OR(C26="Yes"),'2019 Data'!D22,"")</f>
        <v/>
      </c>
      <c r="G26" s="9" t="str">
        <f>IF(OR(C26="Yes"),Questions!B39,"")</f>
        <v/>
      </c>
      <c r="H26" s="87"/>
      <c r="I26" s="36" t="str">
        <f>IF(OR(C26="Yes"),Questions!B40,"")</f>
        <v/>
      </c>
      <c r="J26" s="50" t="str">
        <f t="shared" si="2"/>
        <v/>
      </c>
    </row>
    <row r="27" spans="1:11" ht="63" hidden="1" customHeight="1" x14ac:dyDescent="0.25">
      <c r="A27" s="253"/>
      <c r="B27" s="60" t="str">
        <f>Questions!B41</f>
        <v>Has there been a change in supplying uniforms/attire?</v>
      </c>
      <c r="C27" s="33"/>
      <c r="D27" s="72"/>
      <c r="E27" s="6" t="str">
        <f>IF(OR(C27="Yes"),Questions!B42,"")</f>
        <v/>
      </c>
      <c r="F27" s="89" t="str">
        <f>IF(OR(C27="Yes"),'2019 Data'!D23,"")</f>
        <v/>
      </c>
      <c r="G27" s="6" t="str">
        <f>IF(OR(C27="Yes"),Questions!B43,"")</f>
        <v/>
      </c>
      <c r="H27" s="87"/>
      <c r="I27" s="34" t="str">
        <f>IF(OR(C27="Yes"),Questions!B44,"")</f>
        <v/>
      </c>
      <c r="J27" s="47" t="str">
        <f t="shared" si="2"/>
        <v/>
      </c>
    </row>
    <row r="28" spans="1:11" ht="63" hidden="1" customHeight="1" x14ac:dyDescent="0.25">
      <c r="A28" s="253"/>
      <c r="B28" s="64" t="str">
        <f>Questions!B45</f>
        <v>Has there been a change in supplying Personal Protection Equipment (PPE) or other materials, such as cloth masks?</v>
      </c>
      <c r="C28" s="33"/>
      <c r="D28" s="72"/>
      <c r="E28" s="9" t="str">
        <f>IF(OR(C28="Yes"),Questions!B46,"")</f>
        <v/>
      </c>
      <c r="F28" s="91" t="str">
        <f>IF(OR(C28="Yes"),'2019 Data'!D24,"")</f>
        <v/>
      </c>
      <c r="G28" s="9" t="str">
        <f>IF(OR(C28="Yes"),Questions!B47,"")</f>
        <v/>
      </c>
      <c r="H28" s="87"/>
      <c r="I28" s="36" t="str">
        <f>IF(OR(C28="Yes"),Questions!B48,"")</f>
        <v/>
      </c>
      <c r="J28" s="50" t="str">
        <f t="shared" si="2"/>
        <v/>
      </c>
    </row>
    <row r="29" spans="1:11" ht="63" hidden="1" customHeight="1" x14ac:dyDescent="0.25">
      <c r="A29" s="253"/>
      <c r="B29" s="60" t="str">
        <f>Questions!B49</f>
        <v>Do you expect a change in the system's interest expenses?</v>
      </c>
      <c r="C29" s="33"/>
      <c r="D29" s="72"/>
      <c r="E29" s="2" t="str">
        <f>IF(OR(C29="Yes"),Questions!B50,"")</f>
        <v/>
      </c>
      <c r="F29" s="89" t="str">
        <f>IF(OR(C29="Yes"),'2019 Data'!D25,"")</f>
        <v/>
      </c>
      <c r="G29" s="2" t="str">
        <f>IF(OR(C29="Yes"),Questions!B51,"")</f>
        <v/>
      </c>
      <c r="H29" s="87"/>
      <c r="I29" s="34" t="str">
        <f>IF(OR(C29="Yes"),Questions!B52,"")</f>
        <v/>
      </c>
      <c r="J29" s="47" t="str">
        <f t="shared" si="2"/>
        <v/>
      </c>
    </row>
    <row r="30" spans="1:11" ht="63" hidden="1" customHeight="1" x14ac:dyDescent="0.25">
      <c r="A30" s="253"/>
      <c r="B30" s="247" t="str">
        <f>Questions!B53</f>
        <v>Have you incurred new expenses as a result of COVID-19?</v>
      </c>
      <c r="C30" s="239"/>
      <c r="D30" s="75"/>
      <c r="E30" s="255" t="str">
        <f>IF(OR(C30="Yes"),Questions!B54,"")</f>
        <v/>
      </c>
      <c r="F30" s="255"/>
      <c r="G30" s="256"/>
      <c r="H30" s="87"/>
      <c r="I30" s="36"/>
      <c r="J30" s="50" t="str">
        <f t="shared" si="2"/>
        <v/>
      </c>
      <c r="K30" s="44"/>
    </row>
    <row r="31" spans="1:11" ht="63" hidden="1" customHeight="1" x14ac:dyDescent="0.25">
      <c r="A31" s="253"/>
      <c r="B31" s="248"/>
      <c r="C31" s="240"/>
      <c r="D31" s="74"/>
      <c r="E31" s="255" t="str">
        <f>IF(OR(C30="Yes"),Questions!B57,"")</f>
        <v/>
      </c>
      <c r="F31" s="255"/>
      <c r="G31" s="256"/>
      <c r="H31" s="87"/>
      <c r="I31" s="36" t="str">
        <f>IF(OR(C31="Yes"),Questions!B51,"")</f>
        <v/>
      </c>
      <c r="J31" s="50" t="str">
        <f>IF(OR(C30="Yes"),SUM(H30-F30),"")</f>
        <v/>
      </c>
      <c r="K31" s="44"/>
    </row>
    <row r="32" spans="1:11" ht="63" hidden="1" customHeight="1" x14ac:dyDescent="0.25">
      <c r="A32" s="253"/>
      <c r="B32" s="62" t="str">
        <f>Questions!B58</f>
        <v>Do you have additional expenses that have not been identified?</v>
      </c>
      <c r="C32" s="33"/>
      <c r="D32" s="72"/>
      <c r="E32" s="10" t="str">
        <f>IF(OR(C32="Yes"),Questions!B59,"")</f>
        <v/>
      </c>
      <c r="F32" s="89" t="str">
        <f>IF(OR(C32="Yes"),'2019 Data'!D26,"")</f>
        <v/>
      </c>
      <c r="G32" s="10" t="str">
        <f>IF(OR(C32="Yes"),Questions!B60,"")</f>
        <v/>
      </c>
      <c r="H32" s="87"/>
      <c r="I32" s="34" t="str">
        <f>IF(OR(C32="Yes"),Questions!B61,"")</f>
        <v/>
      </c>
      <c r="J32" s="47" t="str">
        <f>IF(OR(C32="Yes"),SUM(H32-F32),"")</f>
        <v/>
      </c>
    </row>
    <row r="33" spans="1:11" ht="63" hidden="1" customHeight="1" x14ac:dyDescent="0.25">
      <c r="A33" s="254"/>
      <c r="B33" s="63"/>
      <c r="C33" s="9"/>
      <c r="D33" s="80"/>
      <c r="E33" s="12" t="s">
        <v>2</v>
      </c>
      <c r="F33" s="51">
        <f>SUM(F17:F32)</f>
        <v>0</v>
      </c>
      <c r="G33" s="12" t="s">
        <v>78</v>
      </c>
      <c r="H33" s="51">
        <f>SUM(H17:H32)</f>
        <v>0</v>
      </c>
      <c r="I33" s="26" t="s">
        <v>103</v>
      </c>
      <c r="J33" s="51">
        <f>SUM(J17:J32)</f>
        <v>0</v>
      </c>
    </row>
    <row r="34" spans="1:11" ht="63" customHeight="1" x14ac:dyDescent="0.25">
      <c r="A34" s="43" t="s">
        <v>18</v>
      </c>
      <c r="B34" s="59"/>
      <c r="C34" s="2"/>
      <c r="D34" s="82"/>
      <c r="E34" s="13" t="s">
        <v>3</v>
      </c>
      <c r="F34" s="49">
        <f>F14-F33</f>
        <v>0</v>
      </c>
      <c r="G34" s="14" t="s">
        <v>77</v>
      </c>
      <c r="H34" s="49">
        <f>H14-H33</f>
        <v>0</v>
      </c>
      <c r="I34" s="27" t="s">
        <v>4</v>
      </c>
      <c r="J34" s="49">
        <f>J14-J33</f>
        <v>0</v>
      </c>
    </row>
    <row r="35" spans="1:11" ht="75.75" customHeight="1" x14ac:dyDescent="0.25">
      <c r="A35" s="233" t="s">
        <v>13</v>
      </c>
      <c r="B35" s="81" t="str">
        <f>Questions!C2</f>
        <v>Has there been, or do you expect, a change in Accounts receivable?</v>
      </c>
      <c r="C35" s="33"/>
      <c r="D35" s="72"/>
      <c r="E35" s="113" t="str">
        <f>IF(OR(C35="Yes"),Questions!C13,"")</f>
        <v/>
      </c>
      <c r="F35" s="112" t="str">
        <f>IF(OR(C35="Yes"),'2019 Data'!D28,"")</f>
        <v/>
      </c>
      <c r="G35" s="111" t="str">
        <f>IF(OR(C35="Yes"),Questions!C14,"")</f>
        <v/>
      </c>
      <c r="H35" s="92"/>
      <c r="I35" s="38" t="str">
        <f>IF(OR(C35="Yes"),Questions!C28,"")</f>
        <v/>
      </c>
      <c r="J35" s="52" t="str">
        <f>IF(OR(C35="Yes"),SUM(F35-H35),"")</f>
        <v/>
      </c>
      <c r="K35" s="17"/>
    </row>
    <row r="36" spans="1:11" ht="75.75" customHeight="1" x14ac:dyDescent="0.25">
      <c r="A36" s="234"/>
      <c r="B36" s="96" t="str">
        <f>Questions!C3</f>
        <v>Has there been, or do you expect, a change in Accounts payable?</v>
      </c>
      <c r="C36" s="33"/>
      <c r="D36" s="72"/>
      <c r="E36" s="83" t="str">
        <f>IF(OR(C36="Yes"),Questions!C13,"")</f>
        <v/>
      </c>
      <c r="F36" s="93" t="str">
        <f>IF(OR(C36="Yes"),'2019 Data'!D29,"")</f>
        <v/>
      </c>
      <c r="G36" s="31" t="str">
        <f>IF(OR(C36="Yes"),Questions!C14,"")</f>
        <v/>
      </c>
      <c r="H36" s="92"/>
      <c r="I36" s="34" t="str">
        <f>IF(OR(C36="Yes"),Questions!C28,"")</f>
        <v/>
      </c>
      <c r="J36" s="47" t="str">
        <f>IF(OR(C36="Yes"),SUM(H36-F36),"")</f>
        <v/>
      </c>
    </row>
    <row r="37" spans="1:11" ht="75.75" customHeight="1" x14ac:dyDescent="0.25">
      <c r="A37" s="234"/>
      <c r="B37" s="81" t="str">
        <f>Questions!C4</f>
        <v>Will you delay pension fund contributions?</v>
      </c>
      <c r="C37" s="33"/>
      <c r="D37" s="72"/>
      <c r="E37" s="109" t="str">
        <f>IF(OR(C37="Yes"),Questions!C13,"")</f>
        <v/>
      </c>
      <c r="F37" s="110" t="str">
        <f>IF(OR(C37="Yes"),'2019 Data'!D30,"")</f>
        <v/>
      </c>
      <c r="G37" s="111" t="str">
        <f>IF(OR(C37="Yes"),Questions!C14,"")</f>
        <v/>
      </c>
      <c r="H37" s="92"/>
      <c r="I37" s="38" t="str">
        <f>IF(OR(C37="Yes"),Questions!C28,"")</f>
        <v/>
      </c>
      <c r="J37" s="52" t="str">
        <f>IF(OR(C37="Yes"),SUM(F37-H37),"")</f>
        <v/>
      </c>
      <c r="K37" s="44"/>
    </row>
    <row r="38" spans="1:11" ht="75.75" customHeight="1" x14ac:dyDescent="0.25">
      <c r="A38" s="234"/>
      <c r="B38" s="237" t="str">
        <f>Questions!C5</f>
        <v>Are there inter-agency funds transfers that have occurred, or that will occur?</v>
      </c>
      <c r="C38" s="239"/>
      <c r="D38" s="75"/>
      <c r="E38" s="83" t="str">
        <f>IF(OR(C38="Yes"),Questions!C15,"")</f>
        <v/>
      </c>
      <c r="F38" s="93" t="str">
        <f>IF(OR(C38="Yes"),'2019 Data'!D31,"")</f>
        <v/>
      </c>
      <c r="G38" s="31" t="str">
        <f>IF(OR(C38="Yes"),Questions!C16,"")</f>
        <v/>
      </c>
      <c r="H38" s="92"/>
      <c r="I38" s="34" t="str">
        <f>IF(OR(C38="Yes"),Questions!C28,"")</f>
        <v/>
      </c>
      <c r="J38" s="47" t="str">
        <f>IF(OR(C38="Yes"),SUM(F38-H38),"")</f>
        <v/>
      </c>
      <c r="K38" s="44"/>
    </row>
    <row r="39" spans="1:11" ht="75.75" customHeight="1" x14ac:dyDescent="0.25">
      <c r="A39" s="234"/>
      <c r="B39" s="238"/>
      <c r="C39" s="240"/>
      <c r="D39" s="74"/>
      <c r="E39" s="83" t="str">
        <f>IF(OR(C38="Yes"),Questions!C17,"")</f>
        <v/>
      </c>
      <c r="F39" s="93" t="str">
        <f>IF(OR(C38="Yes"),'2019 Data'!D32,"")</f>
        <v/>
      </c>
      <c r="G39" s="31" t="str">
        <f>IF(OR(C38="Yes"),Questions!C18,"")</f>
        <v/>
      </c>
      <c r="H39" s="92"/>
      <c r="I39" s="34" t="str">
        <f>IF(OR(C38="Yes"),Questions!C28,"")</f>
        <v/>
      </c>
      <c r="J39" s="47" t="str">
        <f>IF(OR(C38="Yes"),SUM(H39-F39),"")</f>
        <v/>
      </c>
      <c r="K39" s="44"/>
    </row>
    <row r="40" spans="1:11" ht="75.75" customHeight="1" x14ac:dyDescent="0.25">
      <c r="A40" s="234"/>
      <c r="B40" s="106" t="str">
        <f>Questions!C6</f>
        <v>Has there been, or do you expect, a change in the system's rate structure such as a delay in implementing a rate increase or temporary rate reductions?</v>
      </c>
      <c r="C40" s="33"/>
      <c r="D40" s="72"/>
      <c r="E40" s="58" t="str">
        <f>IF(OR(C40="Yes"),Questions!C19,"")</f>
        <v/>
      </c>
      <c r="F40" s="94" t="str">
        <f>IF(OR(C40="Yes"),'2019 Data'!D33,"")</f>
        <v/>
      </c>
      <c r="G40" s="37" t="str">
        <f>IF(OR(C40="Yes"),Questions!C20,"")</f>
        <v/>
      </c>
      <c r="H40" s="92"/>
      <c r="I40" s="38" t="str">
        <f>IF(OR(C40="Yes"),Questions!C28,"")</f>
        <v/>
      </c>
      <c r="J40" s="52" t="str">
        <f>IF(OR(C40="Yes"),SUM(H40-F40),"")</f>
        <v/>
      </c>
    </row>
    <row r="41" spans="1:11" ht="75.75" customHeight="1" x14ac:dyDescent="0.25">
      <c r="A41" s="234"/>
      <c r="B41" s="105" t="str">
        <f>Questions!C7</f>
        <v>Do you have a rate stabilization fund?</v>
      </c>
      <c r="C41" s="33"/>
      <c r="D41" s="72"/>
      <c r="E41" s="83" t="str">
        <f>IF(OR(C41="Yes"),Questions!C21,"")</f>
        <v/>
      </c>
      <c r="F41" s="93" t="str">
        <f>IF(OR(C41="Yes"),'2019 Data'!D34,"")</f>
        <v/>
      </c>
      <c r="G41" s="31" t="str">
        <f>IF(OR(C41="Yes"),Questions!C22,"")</f>
        <v/>
      </c>
      <c r="H41" s="92"/>
      <c r="I41" s="34" t="str">
        <f>IF(OR(C41="Yes"),Questions!C28,"")</f>
        <v/>
      </c>
      <c r="J41" s="47" t="str">
        <f>IF(OR(C41="Yes"),SUM(H41-F41),"")</f>
        <v/>
      </c>
    </row>
    <row r="42" spans="1:11" ht="75.75" customHeight="1" x14ac:dyDescent="0.25">
      <c r="A42" s="234"/>
      <c r="B42" s="106" t="str">
        <f>Questions!C8</f>
        <v>Has there been, or do you expect, a change in budgeted capital expenditures?</v>
      </c>
      <c r="C42" s="33"/>
      <c r="D42" s="72"/>
      <c r="E42" s="109" t="str">
        <f>IF(OR(C42="Yes"),Questions!C23,"")</f>
        <v/>
      </c>
      <c r="F42" s="110" t="str">
        <f>IF(OR(C42="Yes"),'2019 Data'!D35,"")</f>
        <v/>
      </c>
      <c r="G42" s="37" t="str">
        <f>IF(OR(C42="Yes"),Questions!C24,"")</f>
        <v/>
      </c>
      <c r="H42" s="92"/>
      <c r="I42" s="38" t="str">
        <f>IF(OR(C42="Yes"),Questions!C28,"")</f>
        <v/>
      </c>
      <c r="J42" s="52" t="str">
        <f>IF(OR(C42="Yes"),SUM(F42-H42),"")</f>
        <v/>
      </c>
      <c r="K42" s="44"/>
    </row>
    <row r="43" spans="1:11" ht="75.75" customHeight="1" x14ac:dyDescent="0.25">
      <c r="A43" s="234"/>
      <c r="B43" s="105" t="str">
        <f>Questions!C9</f>
        <v>Are there, or do you expect, a change in expenditures due to delayed construction projects?</v>
      </c>
      <c r="C43" s="33"/>
      <c r="D43" s="72"/>
      <c r="E43" s="231" t="str">
        <f>IF(OR(C43="Yes"),Questions!C25,"")</f>
        <v/>
      </c>
      <c r="F43" s="231"/>
      <c r="G43" s="232"/>
      <c r="H43" s="92"/>
      <c r="I43" s="34" t="str">
        <f>IF(OR(C43="Yes"),Questions!C28,"")</f>
        <v/>
      </c>
      <c r="J43" s="47" t="str">
        <f>IF(OR(C43="Yes"),H43,"")</f>
        <v/>
      </c>
      <c r="K43" s="44"/>
    </row>
    <row r="44" spans="1:11" ht="75.75" customHeight="1" x14ac:dyDescent="0.25">
      <c r="A44" s="234"/>
      <c r="B44" s="106" t="str">
        <f>Questions!C10</f>
        <v>Will you attempt to restructure existing debt?</v>
      </c>
      <c r="C44" s="33"/>
      <c r="D44" s="72"/>
      <c r="E44" s="229" t="str">
        <f>IF(OR(C44="Yes"),Questions!C25,"")</f>
        <v/>
      </c>
      <c r="F44" s="229"/>
      <c r="G44" s="230"/>
      <c r="H44" s="92"/>
      <c r="I44" s="38" t="str">
        <f>IF(OR(C44="Yes"),Questions!C28,"")</f>
        <v/>
      </c>
      <c r="J44" s="52" t="str">
        <f>IF(OR(C44="Yes"),H44,"")</f>
        <v/>
      </c>
      <c r="K44" s="44"/>
    </row>
    <row r="45" spans="1:11" ht="75.75" customHeight="1" x14ac:dyDescent="0.25">
      <c r="A45" s="234"/>
      <c r="B45" s="105" t="str">
        <f>Questions!C11</f>
        <v>Will you incur new debt?</v>
      </c>
      <c r="C45" s="33"/>
      <c r="D45" s="72"/>
      <c r="E45" s="231" t="str">
        <f>IF(OR(C45="Yes"),Questions!C25,"")</f>
        <v/>
      </c>
      <c r="F45" s="231"/>
      <c r="G45" s="232"/>
      <c r="H45" s="92"/>
      <c r="I45" s="114" t="str">
        <f>IF(OR(C45="Yes"),Questions!C28,"")</f>
        <v/>
      </c>
      <c r="J45" s="53" t="str">
        <f>IF(OR(C45="Yes"),H45,"")</f>
        <v/>
      </c>
      <c r="K45" s="44"/>
    </row>
    <row r="46" spans="1:11" ht="75.75" customHeight="1" x14ac:dyDescent="0.25">
      <c r="A46" s="235"/>
      <c r="B46" s="108" t="str">
        <f>Questions!C12</f>
        <v>Do you have available cash on hand?</v>
      </c>
      <c r="C46" s="66"/>
      <c r="D46" s="72"/>
      <c r="E46" s="229" t="str">
        <f>IF(OR(C46="Yes"),Questions!C26,"")</f>
        <v/>
      </c>
      <c r="F46" s="229"/>
      <c r="G46" s="230"/>
      <c r="H46" s="32"/>
      <c r="I46" s="38" t="str">
        <f>IF(OR(C46="Yes"),Questions!C28,"")</f>
        <v/>
      </c>
      <c r="J46" s="52" t="str">
        <f>IF(OR(C46="Yes"),H46,"")</f>
        <v/>
      </c>
      <c r="K46" s="44"/>
    </row>
    <row r="47" spans="1:11" ht="75.75" customHeight="1" x14ac:dyDescent="0.25">
      <c r="A47" s="235"/>
      <c r="B47" s="59" t="s">
        <v>254</v>
      </c>
      <c r="C47" s="33"/>
      <c r="D47" s="72"/>
      <c r="E47" s="231" t="str">
        <f>IF(OR(C47="Yes"),Questions!C27,"")</f>
        <v/>
      </c>
      <c r="F47" s="231"/>
      <c r="G47" s="232"/>
      <c r="H47" s="107"/>
      <c r="I47" s="34" t="str">
        <f>IF(OR(C47="Yes"),Questions!C28,"")</f>
        <v/>
      </c>
      <c r="J47" s="47" t="str">
        <f>IF(OR(C47="Yes"),H47,"")</f>
        <v/>
      </c>
      <c r="K47" s="44"/>
    </row>
    <row r="48" spans="1:11" ht="75.75" customHeight="1" x14ac:dyDescent="0.25">
      <c r="A48" s="236"/>
      <c r="B48" s="61"/>
      <c r="C48" s="85"/>
      <c r="D48" s="58"/>
      <c r="E48" s="84" t="s">
        <v>93</v>
      </c>
      <c r="F48" s="65">
        <f>SUM(F35:F47)</f>
        <v>0</v>
      </c>
      <c r="G48" s="45" t="s">
        <v>98</v>
      </c>
      <c r="H48" s="65">
        <f>SUM(H35:H47)</f>
        <v>0</v>
      </c>
      <c r="I48" s="56" t="s">
        <v>99</v>
      </c>
      <c r="J48" s="57">
        <f>SUM(J35:J47)</f>
        <v>0</v>
      </c>
    </row>
    <row r="49" spans="10:10" x14ac:dyDescent="0.25">
      <c r="J49" s="25"/>
    </row>
  </sheetData>
  <mergeCells count="19">
    <mergeCell ref="C17:C18"/>
    <mergeCell ref="B30:B31"/>
    <mergeCell ref="C30:C31"/>
    <mergeCell ref="A1:J1"/>
    <mergeCell ref="E30:G30"/>
    <mergeCell ref="E31:G31"/>
    <mergeCell ref="A2:A14"/>
    <mergeCell ref="B2:B3"/>
    <mergeCell ref="A15:A33"/>
    <mergeCell ref="B15:B16"/>
    <mergeCell ref="B17:B18"/>
    <mergeCell ref="A35:A48"/>
    <mergeCell ref="B38:B39"/>
    <mergeCell ref="C38:C39"/>
    <mergeCell ref="E44:G44"/>
    <mergeCell ref="E45:G45"/>
    <mergeCell ref="E46:G46"/>
    <mergeCell ref="E43:G43"/>
    <mergeCell ref="E47:G47"/>
  </mergeCells>
  <dataValidations count="1">
    <dataValidation type="list" allowBlank="1" showInputMessage="1" showErrorMessage="1" sqref="C4:C13 C17:C32 C35:C38 C40:C47 F9" xr:uid="{67119699-E9A6-4F63-960B-1FE3EE5CA54E}">
      <formula1>"Yes,No"</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CommandButton1">
          <controlPr defaultSize="0" autoLine="0" r:id="rId5">
            <anchor moveWithCells="1">
              <from>
                <xdr:col>2</xdr:col>
                <xdr:colOff>200025</xdr:colOff>
                <xdr:row>1</xdr:row>
                <xdr:rowOff>95250</xdr:rowOff>
              </from>
              <to>
                <xdr:col>2</xdr:col>
                <xdr:colOff>828675</xdr:colOff>
                <xdr:row>1</xdr:row>
                <xdr:rowOff>666750</xdr:rowOff>
              </to>
            </anchor>
          </controlPr>
        </control>
      </mc:Choice>
      <mc:Fallback>
        <control shapeId="37889" r:id="rId4" name="CommandButton1"/>
      </mc:Fallback>
    </mc:AlternateContent>
    <mc:AlternateContent xmlns:mc="http://schemas.openxmlformats.org/markup-compatibility/2006">
      <mc:Choice Requires="x14">
        <control shapeId="37890" r:id="rId6" name="CommandButton2">
          <controlPr defaultSize="0" autoLine="0" r:id="rId7">
            <anchor moveWithCells="1">
              <from>
                <xdr:col>2</xdr:col>
                <xdr:colOff>200025</xdr:colOff>
                <xdr:row>2</xdr:row>
                <xdr:rowOff>85725</xdr:rowOff>
              </from>
              <to>
                <xdr:col>2</xdr:col>
                <xdr:colOff>809625</xdr:colOff>
                <xdr:row>2</xdr:row>
                <xdr:rowOff>647700</xdr:rowOff>
              </to>
            </anchor>
          </controlPr>
        </control>
      </mc:Choice>
      <mc:Fallback>
        <control shapeId="37890" r:id="rId6" name="CommandButton2"/>
      </mc:Fallback>
    </mc:AlternateContent>
    <mc:AlternateContent xmlns:mc="http://schemas.openxmlformats.org/markup-compatibility/2006">
      <mc:Choice Requires="x14">
        <control shapeId="37891" r:id="rId8" name="CommandButton3">
          <controlPr defaultSize="0" autoLine="0" r:id="rId9">
            <anchor moveWithCells="1">
              <from>
                <xdr:col>2</xdr:col>
                <xdr:colOff>180975</xdr:colOff>
                <xdr:row>14</xdr:row>
                <xdr:rowOff>133350</xdr:rowOff>
              </from>
              <to>
                <xdr:col>2</xdr:col>
                <xdr:colOff>800100</xdr:colOff>
                <xdr:row>14</xdr:row>
                <xdr:rowOff>695325</xdr:rowOff>
              </to>
            </anchor>
          </controlPr>
        </control>
      </mc:Choice>
      <mc:Fallback>
        <control shapeId="37891" r:id="rId8" name="CommandButton3"/>
      </mc:Fallback>
    </mc:AlternateContent>
    <mc:AlternateContent xmlns:mc="http://schemas.openxmlformats.org/markup-compatibility/2006">
      <mc:Choice Requires="x14">
        <control shapeId="37892" r:id="rId10" name="CommandButton4">
          <controlPr defaultSize="0" autoLine="0" r:id="rId11">
            <anchor moveWithCells="1">
              <from>
                <xdr:col>2</xdr:col>
                <xdr:colOff>190500</xdr:colOff>
                <xdr:row>15</xdr:row>
                <xdr:rowOff>114300</xdr:rowOff>
              </from>
              <to>
                <xdr:col>2</xdr:col>
                <xdr:colOff>809625</xdr:colOff>
                <xdr:row>15</xdr:row>
                <xdr:rowOff>666750</xdr:rowOff>
              </to>
            </anchor>
          </controlPr>
        </control>
      </mc:Choice>
      <mc:Fallback>
        <control shapeId="37892" r:id="rId10" name="CommandButton4"/>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6981E-8ED0-4C2A-B7EE-BBC6DFF66B58}">
  <sheetPr codeName="Sheet14">
    <tabColor theme="0"/>
  </sheetPr>
  <dimension ref="A1:K49"/>
  <sheetViews>
    <sheetView zoomScaleNormal="100" workbookViewId="0">
      <pane ySplit="1" topLeftCell="A2" activePane="bottomLeft" state="frozen"/>
      <selection activeCell="K3" sqref="K3"/>
      <selection pane="bottomLeft" activeCell="A2" sqref="A2:A14"/>
    </sheetView>
  </sheetViews>
  <sheetFormatPr defaultColWidth="9.140625" defaultRowHeight="15" x14ac:dyDescent="0.25"/>
  <cols>
    <col min="1" max="1" width="10.7109375" style="15" customWidth="1"/>
    <col min="2" max="2" width="28.140625" style="16" customWidth="1"/>
    <col min="3" max="3" width="14" style="17" customWidth="1"/>
    <col min="4" max="4" width="2.7109375" style="4" customWidth="1"/>
    <col min="5" max="5" width="28.42578125" style="17" customWidth="1"/>
    <col min="6" max="6" width="17.7109375" style="18" customWidth="1"/>
    <col min="7" max="7" width="31.140625" style="17" customWidth="1"/>
    <col min="8" max="8" width="17.7109375" style="18" customWidth="1"/>
    <col min="9" max="9" width="23.140625" style="25" customWidth="1"/>
    <col min="10" max="10" width="17.7109375" style="19" customWidth="1"/>
    <col min="11" max="11" width="22.7109375" style="4" bestFit="1" customWidth="1"/>
    <col min="12" max="16384" width="9.140625" style="4"/>
  </cols>
  <sheetData>
    <row r="1" spans="1:10" s="1" customFormat="1" ht="27.75" customHeight="1" thickTop="1" x14ac:dyDescent="0.25">
      <c r="A1" s="241" t="s">
        <v>174</v>
      </c>
      <c r="B1" s="242"/>
      <c r="C1" s="242"/>
      <c r="D1" s="242"/>
      <c r="E1" s="242"/>
      <c r="F1" s="242"/>
      <c r="G1" s="242"/>
      <c r="H1" s="242"/>
      <c r="I1" s="242"/>
      <c r="J1" s="242"/>
    </row>
    <row r="2" spans="1:10" ht="63" customHeight="1" x14ac:dyDescent="0.25">
      <c r="A2" s="249" t="s">
        <v>1</v>
      </c>
      <c r="B2" s="243" t="s">
        <v>11</v>
      </c>
      <c r="C2" s="66"/>
      <c r="D2" s="75"/>
      <c r="E2" s="2"/>
      <c r="F2" s="3"/>
      <c r="G2" s="2"/>
      <c r="H2" s="3"/>
      <c r="I2" s="24"/>
      <c r="J2" s="53"/>
    </row>
    <row r="3" spans="1:10" ht="63" customHeight="1" x14ac:dyDescent="0.25">
      <c r="A3" s="250"/>
      <c r="B3" s="244"/>
      <c r="C3" s="68"/>
      <c r="D3" s="76"/>
      <c r="E3" s="73" t="s">
        <v>87</v>
      </c>
      <c r="F3" s="11"/>
      <c r="G3" s="10"/>
      <c r="H3" s="11"/>
      <c r="I3" s="54"/>
      <c r="J3" s="55"/>
    </row>
    <row r="4" spans="1:10" ht="63" hidden="1" customHeight="1" x14ac:dyDescent="0.25">
      <c r="A4" s="250"/>
      <c r="B4" s="42" t="str">
        <f>Questions!A2</f>
        <v>Have commercial/industrial revenues been impacted?</v>
      </c>
      <c r="C4" s="68"/>
      <c r="D4" s="74"/>
      <c r="E4" s="30" t="str">
        <f>IF(OR(C4="Yes"),Questions!A3,"")</f>
        <v/>
      </c>
      <c r="F4" s="88" t="str">
        <f>IF(OR(C4="Yes"),'2019 Data'!D3,"")</f>
        <v/>
      </c>
      <c r="G4" s="30" t="str">
        <f>IF(OR(C4="Yes"),Questions!A4,"")</f>
        <v/>
      </c>
      <c r="H4" s="86"/>
      <c r="I4" s="70" t="str">
        <f>IF(OR(C4="Yes"),Questions!A5,"")</f>
        <v/>
      </c>
      <c r="J4" s="71" t="str">
        <f t="shared" ref="J4:J13" si="0">IF(OR(C4="Yes"),SUM(H4-F4),"")</f>
        <v/>
      </c>
    </row>
    <row r="5" spans="1:10" ht="63" hidden="1" customHeight="1" x14ac:dyDescent="0.25">
      <c r="A5" s="250"/>
      <c r="B5" s="60" t="str">
        <f>Questions!A6</f>
        <v>Have residential revenues been impacted?</v>
      </c>
      <c r="C5" s="33"/>
      <c r="D5" s="74"/>
      <c r="E5" s="6" t="str">
        <f>IF(OR(C5="Yes"),Questions!A7,"")</f>
        <v/>
      </c>
      <c r="F5" s="89" t="str">
        <f>IF(OR(C5="Yes"),'2019 Data'!D4,"")</f>
        <v/>
      </c>
      <c r="G5" s="6" t="str">
        <f>IF(OR(C5="Yes"),Questions!A8,"")</f>
        <v/>
      </c>
      <c r="H5" s="87"/>
      <c r="I5" s="34" t="str">
        <f>IF(OR(C5="Yes"),Questions!A9,"")</f>
        <v/>
      </c>
      <c r="J5" s="47" t="str">
        <f t="shared" si="0"/>
        <v/>
      </c>
    </row>
    <row r="6" spans="1:10" ht="63" hidden="1" customHeight="1" x14ac:dyDescent="0.25">
      <c r="A6" s="250"/>
      <c r="B6" s="42" t="str">
        <f>Questions!A10</f>
        <v>Do you sell wholesale water/wastewater treatment?</v>
      </c>
      <c r="C6" s="33"/>
      <c r="D6" s="74"/>
      <c r="E6" s="5" t="str">
        <f>IF(OR(C6="Yes"),Questions!A11,"")</f>
        <v/>
      </c>
      <c r="F6" s="88" t="str">
        <f>IF(OR(C6="Yes"),'2019 Data'!D5,"")</f>
        <v/>
      </c>
      <c r="G6" s="5" t="str">
        <f>IF(OR(C6="Yes"),Questions!A12,"")</f>
        <v/>
      </c>
      <c r="H6" s="87"/>
      <c r="I6" s="35" t="str">
        <f>IF(OR(C6="Yes"),Questions!A13,"")</f>
        <v/>
      </c>
      <c r="J6" s="46" t="str">
        <f t="shared" si="0"/>
        <v/>
      </c>
    </row>
    <row r="7" spans="1:10" ht="63" hidden="1" customHeight="1" x14ac:dyDescent="0.25">
      <c r="A7" s="250"/>
      <c r="B7" s="60" t="str">
        <f>Questions!A14</f>
        <v>Do you charge connection/tap fees?</v>
      </c>
      <c r="C7" s="33"/>
      <c r="D7" s="74"/>
      <c r="E7" s="6" t="str">
        <f>IF(OR(C7="Yes"),Questions!A15,"")</f>
        <v/>
      </c>
      <c r="F7" s="89" t="str">
        <f>IF(OR(C7="Yes"),'2019 Data'!D6,"")</f>
        <v/>
      </c>
      <c r="G7" s="6" t="str">
        <f>IF(OR(C7="Yes"),Questions!A16,"")</f>
        <v/>
      </c>
      <c r="H7" s="87"/>
      <c r="I7" s="34" t="str">
        <f>IF(OR(C7="Yes"),Questions!A17,"")</f>
        <v/>
      </c>
      <c r="J7" s="47" t="str">
        <f t="shared" si="0"/>
        <v/>
      </c>
    </row>
    <row r="8" spans="1:10" ht="63" hidden="1" customHeight="1" x14ac:dyDescent="0.25">
      <c r="A8" s="250"/>
      <c r="B8" s="42" t="str">
        <f>Questions!A18</f>
        <v>Are you suspending late fees?</v>
      </c>
      <c r="C8" s="33"/>
      <c r="D8" s="74"/>
      <c r="E8" s="5" t="str">
        <f>IF(OR(C8="Yes"),Questions!A19,"")</f>
        <v/>
      </c>
      <c r="F8" s="88" t="str">
        <f>IF(OR(C8="Yes"),'2019 Data'!D7,"")</f>
        <v/>
      </c>
      <c r="G8" s="5" t="str">
        <f>IF(OR(C8="Yes"),Questions!A20,"")</f>
        <v/>
      </c>
      <c r="H8" s="87"/>
      <c r="I8" s="35" t="str">
        <f>IF(OR(C8="Yes"),Questions!A21,"")</f>
        <v/>
      </c>
      <c r="J8" s="46" t="str">
        <f t="shared" si="0"/>
        <v/>
      </c>
    </row>
    <row r="9" spans="1:10" ht="63" hidden="1" customHeight="1" x14ac:dyDescent="0.25">
      <c r="A9" s="250"/>
      <c r="B9" s="95" t="str">
        <f>Questions!A22</f>
        <v>Are you suspending shutoffs?</v>
      </c>
      <c r="C9" s="33"/>
      <c r="D9" s="74"/>
      <c r="E9" s="6" t="str">
        <f>IF(OR(C9="Yes"),Questions!A23,"")</f>
        <v/>
      </c>
      <c r="F9" s="115"/>
      <c r="G9" s="6" t="str">
        <f>IF(OR(F9="Yes"),Questions!A24,"")</f>
        <v/>
      </c>
      <c r="H9" s="87"/>
      <c r="I9" s="34" t="str">
        <f>IF(OR(F9="Yes"),Questions!A25,"")</f>
        <v/>
      </c>
      <c r="J9" s="47" t="str">
        <f>IF(OR(F9="Yes"),-H9,"")</f>
        <v/>
      </c>
    </row>
    <row r="10" spans="1:10" ht="63" hidden="1" customHeight="1" x14ac:dyDescent="0.25">
      <c r="A10" s="250"/>
      <c r="B10" s="42" t="str">
        <f>Questions!A26</f>
        <v>Does your system receive tax revenue either directly or from a parent agency?</v>
      </c>
      <c r="C10" s="33"/>
      <c r="D10" s="74"/>
      <c r="E10" s="5" t="str">
        <f>IF(OR(C10="Yes"),Questions!A27,"")</f>
        <v/>
      </c>
      <c r="F10" s="88" t="str">
        <f>IF(OR(C10="Yes"),'2019 Data'!D8,"")</f>
        <v/>
      </c>
      <c r="G10" s="29" t="str">
        <f>IF(OR(C10="Yes"),Questions!A28,"")</f>
        <v/>
      </c>
      <c r="H10" s="87"/>
      <c r="I10" s="35" t="str">
        <f>IF(OR(C10="Yes"),Questions!A29,"")</f>
        <v/>
      </c>
      <c r="J10" s="46" t="str">
        <f t="shared" si="0"/>
        <v/>
      </c>
    </row>
    <row r="11" spans="1:10" ht="63" hidden="1" customHeight="1" x14ac:dyDescent="0.25">
      <c r="A11" s="250"/>
      <c r="B11" s="60" t="str">
        <f>Questions!A30</f>
        <v>Do you sell byproducts (e.g., biosolids, electricity, etc.)?</v>
      </c>
      <c r="C11" s="33"/>
      <c r="D11" s="74"/>
      <c r="E11" s="6" t="str">
        <f>IF(OR(C11="Yes"),Questions!A31,"")</f>
        <v/>
      </c>
      <c r="F11" s="89" t="str">
        <f>IF(OR(C11="Yes"),'2019 Data'!D9,"")</f>
        <v/>
      </c>
      <c r="G11" s="83" t="str">
        <f>IF(OR(C11="Yes"),Questions!A32,"")</f>
        <v/>
      </c>
      <c r="H11" s="87"/>
      <c r="I11" s="34" t="str">
        <f>IF(OR(C11="Yes"),Questions!A33,"")</f>
        <v/>
      </c>
      <c r="J11" s="47" t="str">
        <f t="shared" si="0"/>
        <v/>
      </c>
    </row>
    <row r="12" spans="1:10" ht="63" hidden="1" customHeight="1" x14ac:dyDescent="0.25">
      <c r="A12" s="250"/>
      <c r="B12" s="42" t="str">
        <f>Questions!A34</f>
        <v>Do you generate interest income from cash on hand?</v>
      </c>
      <c r="C12" s="33"/>
      <c r="D12" s="74"/>
      <c r="E12" s="5" t="str">
        <f>IF(OR(C12="Yes"),Questions!A35,"")</f>
        <v/>
      </c>
      <c r="F12" s="88" t="str">
        <f>IF(OR(C12="Yes"),'2019 Data'!D10,"")</f>
        <v/>
      </c>
      <c r="G12" s="30" t="str">
        <f>IF(OR(C12="Yes"),Questions!A36,"")</f>
        <v/>
      </c>
      <c r="H12" s="87"/>
      <c r="I12" s="35" t="str">
        <f>IF(OR(C12="Yes"),Questions!A37,"")</f>
        <v/>
      </c>
      <c r="J12" s="46" t="str">
        <f t="shared" si="0"/>
        <v/>
      </c>
    </row>
    <row r="13" spans="1:10" ht="63" hidden="1" customHeight="1" x14ac:dyDescent="0.25">
      <c r="A13" s="250"/>
      <c r="B13" s="62" t="str">
        <f>Questions!A38</f>
        <v>Do you have additional revenue streams that have not been identified?</v>
      </c>
      <c r="C13" s="66"/>
      <c r="D13" s="77"/>
      <c r="E13" s="7" t="str">
        <f>IF(OR(C13="Yes"),Questions!A39,"")</f>
        <v/>
      </c>
      <c r="F13" s="90" t="str">
        <f>IF(OR(C13="Yes"),'2019 Data'!D11,"")</f>
        <v/>
      </c>
      <c r="G13" s="6" t="str">
        <f>IF(OR(C13="Yes"),Questions!A40,"")</f>
        <v/>
      </c>
      <c r="H13" s="87"/>
      <c r="I13" s="34" t="str">
        <f>IF(OR(C13="Yes"),Questions!A41,"")</f>
        <v/>
      </c>
      <c r="J13" s="47" t="str">
        <f t="shared" si="0"/>
        <v/>
      </c>
    </row>
    <row r="14" spans="1:10" ht="63" hidden="1" customHeight="1" x14ac:dyDescent="0.25">
      <c r="A14" s="251"/>
      <c r="B14" s="78"/>
      <c r="C14" s="29"/>
      <c r="D14" s="79"/>
      <c r="E14" s="8" t="s">
        <v>0</v>
      </c>
      <c r="F14" s="48">
        <f>SUM(F2:F13)</f>
        <v>0</v>
      </c>
      <c r="G14" s="8" t="s">
        <v>102</v>
      </c>
      <c r="H14" s="48">
        <f>SUM(H2:H13)</f>
        <v>0</v>
      </c>
      <c r="I14" s="28" t="s">
        <v>100</v>
      </c>
      <c r="J14" s="48">
        <f>SUM(J2:J13)</f>
        <v>0</v>
      </c>
    </row>
    <row r="15" spans="1:10" ht="63" customHeight="1" x14ac:dyDescent="0.25">
      <c r="A15" s="252" t="s">
        <v>9</v>
      </c>
      <c r="B15" s="245" t="s">
        <v>298</v>
      </c>
      <c r="C15" s="66"/>
      <c r="D15" s="75"/>
      <c r="E15" s="2"/>
      <c r="F15" s="3"/>
      <c r="G15" s="2"/>
      <c r="H15" s="3"/>
      <c r="I15" s="24"/>
      <c r="J15" s="53"/>
    </row>
    <row r="16" spans="1:10" ht="63" customHeight="1" x14ac:dyDescent="0.25">
      <c r="A16" s="253"/>
      <c r="B16" s="246"/>
      <c r="C16" s="67"/>
      <c r="D16" s="77"/>
      <c r="E16" s="98" t="s">
        <v>245</v>
      </c>
      <c r="F16" s="11"/>
      <c r="G16" s="10"/>
      <c r="H16" s="11"/>
      <c r="I16" s="54"/>
      <c r="J16" s="55"/>
    </row>
    <row r="17" spans="1:11" ht="63" hidden="1" customHeight="1" x14ac:dyDescent="0.25">
      <c r="A17" s="253"/>
      <c r="B17" s="247" t="str">
        <f>Questions!B2</f>
        <v>Have your labor costs, regular and overtime, changed?</v>
      </c>
      <c r="C17" s="239"/>
      <c r="D17" s="75"/>
      <c r="E17" s="9" t="str">
        <f>IF(OR(C17="Yes"),Questions!B3,"")</f>
        <v/>
      </c>
      <c r="F17" s="91" t="str">
        <f>IF(OR(C17="Yes"),'2019 Data'!D13,"")</f>
        <v/>
      </c>
      <c r="G17" s="9" t="str">
        <f>IF(OR(C17="Yes"),Questions!B4,"")</f>
        <v/>
      </c>
      <c r="H17" s="87"/>
      <c r="I17" s="36" t="str">
        <f>IF(OR(C17="Yes"),Questions!B5,"")</f>
        <v/>
      </c>
      <c r="J17" s="50" t="str">
        <f>IF(OR(C17="Yes"),SUM(H17-F17),"")</f>
        <v/>
      </c>
    </row>
    <row r="18" spans="1:11" ht="63" hidden="1" customHeight="1" x14ac:dyDescent="0.25">
      <c r="A18" s="253"/>
      <c r="B18" s="248"/>
      <c r="C18" s="240"/>
      <c r="D18" s="77"/>
      <c r="E18" s="9" t="str">
        <f>IF(OR(C17="Yes"),Questions!B6,"")</f>
        <v/>
      </c>
      <c r="F18" s="91" t="str">
        <f>IF(OR(C17="Yes"),'2019 Data'!D14,"")</f>
        <v/>
      </c>
      <c r="G18" s="9" t="str">
        <f>IF(OR(C17="Yes"),Questions!B7,"")</f>
        <v/>
      </c>
      <c r="H18" s="87"/>
      <c r="I18" s="36" t="str">
        <f>IF(OR(C17="Yes"),Questions!B8,"")</f>
        <v/>
      </c>
      <c r="J18" s="50" t="str">
        <f>IF(OR(C17="Yes"),SUM(H18-F18),"")</f>
        <v/>
      </c>
    </row>
    <row r="19" spans="1:11" ht="63" hidden="1" customHeight="1" x14ac:dyDescent="0.25">
      <c r="A19" s="253"/>
      <c r="B19" s="95" t="str">
        <f>Questions!B9</f>
        <v>Do you purchase water for resale?</v>
      </c>
      <c r="C19" s="33"/>
      <c r="D19" s="72"/>
      <c r="E19" s="10" t="str">
        <f>IF(OR(C19="Yes"),Questions!B10,"")</f>
        <v/>
      </c>
      <c r="F19" s="89" t="str">
        <f>IF(OR(C19="Yes"),'2019 Data'!D15,"")</f>
        <v/>
      </c>
      <c r="G19" s="10" t="str">
        <f>IF(OR(C19="Yes"),Questions!B11,"")</f>
        <v/>
      </c>
      <c r="H19" s="87"/>
      <c r="I19" s="34" t="str">
        <f>IF(OR(C19="Yes"),Questions!B12,"")</f>
        <v/>
      </c>
      <c r="J19" s="47" t="str">
        <f t="shared" ref="J19:J22" si="1">IF(OR(C19="Yes"),SUM(H19-F19),"")</f>
        <v/>
      </c>
    </row>
    <row r="20" spans="1:11" ht="63" hidden="1" customHeight="1" x14ac:dyDescent="0.25">
      <c r="A20" s="253"/>
      <c r="B20" s="97" t="s">
        <v>193</v>
      </c>
      <c r="C20" s="33"/>
      <c r="D20" s="72"/>
      <c r="E20" s="69" t="str">
        <f>IF(OR(C20="Yes"),Questions!B14,"")</f>
        <v/>
      </c>
      <c r="F20" s="91" t="str">
        <f>IF(OR(C20="Yes"),'2019 Data'!D16,"")</f>
        <v/>
      </c>
      <c r="G20" s="69" t="str">
        <f>IF(OR(C20="Yes"),Questions!B15,"")</f>
        <v/>
      </c>
      <c r="H20" s="87"/>
      <c r="I20" s="36" t="str">
        <f>IF(OR(C20="Yes"),Questions!B16,"")</f>
        <v/>
      </c>
      <c r="J20" s="50" t="str">
        <f t="shared" si="1"/>
        <v/>
      </c>
    </row>
    <row r="21" spans="1:11" ht="63" hidden="1" customHeight="1" x14ac:dyDescent="0.25">
      <c r="A21" s="253"/>
      <c r="B21" s="95" t="str">
        <f>Questions!B17</f>
        <v>Have your chemical usages changed?</v>
      </c>
      <c r="C21" s="33"/>
      <c r="D21" s="72"/>
      <c r="E21" s="6" t="str">
        <f>IF(OR(C21="Yes"),Questions!B18,"")</f>
        <v/>
      </c>
      <c r="F21" s="89" t="str">
        <f>IF(OR(C21="Yes"),'2019 Data'!D17,"")</f>
        <v/>
      </c>
      <c r="G21" s="6" t="str">
        <f>IF(OR(C21="Yes"),Questions!B19,"")</f>
        <v/>
      </c>
      <c r="H21" s="87"/>
      <c r="I21" s="34" t="str">
        <f>IF(OR(C21="Yes"),Questions!B20,"")</f>
        <v/>
      </c>
      <c r="J21" s="47" t="str">
        <f t="shared" si="1"/>
        <v/>
      </c>
    </row>
    <row r="22" spans="1:11" ht="63" hidden="1" customHeight="1" x14ac:dyDescent="0.25">
      <c r="A22" s="253"/>
      <c r="B22" s="97" t="str">
        <f>Questions!B21</f>
        <v>Have your disposal costs changed?</v>
      </c>
      <c r="C22" s="33"/>
      <c r="D22" s="72"/>
      <c r="E22" s="9" t="str">
        <f>IF(OR(C22="Yes"),Questions!B22,"")</f>
        <v/>
      </c>
      <c r="F22" s="91" t="str">
        <f>IF(OR(C22="Yes"),'2019 Data'!D18,"")</f>
        <v/>
      </c>
      <c r="G22" s="9" t="str">
        <f>IF(OR(C22="Yes"),Questions!B23,"")</f>
        <v/>
      </c>
      <c r="H22" s="87"/>
      <c r="I22" s="36" t="str">
        <f>IF(OR(C22="Yes"),Questions!B24,"")</f>
        <v/>
      </c>
      <c r="J22" s="50" t="str">
        <f t="shared" si="1"/>
        <v/>
      </c>
    </row>
    <row r="23" spans="1:11" ht="63" hidden="1" customHeight="1" x14ac:dyDescent="0.25">
      <c r="A23" s="253"/>
      <c r="B23" s="60" t="str">
        <f>Questions!B25</f>
        <v>Have your testing expenses changed?</v>
      </c>
      <c r="C23" s="33"/>
      <c r="D23" s="72"/>
      <c r="E23" s="6" t="str">
        <f>IF(OR(C23="Yes"),Questions!B26,"")</f>
        <v/>
      </c>
      <c r="F23" s="89" t="str">
        <f>IF(OR(C23="Yes"),'2019 Data'!D19,"")</f>
        <v/>
      </c>
      <c r="G23" s="6" t="str">
        <f>IF(OR(C23="Yes"),Questions!B27,"")</f>
        <v/>
      </c>
      <c r="H23" s="87"/>
      <c r="I23" s="34" t="str">
        <f>IF(OR(C23="Yes"),Questions!B28,"")</f>
        <v/>
      </c>
      <c r="J23" s="47" t="str">
        <f t="shared" ref="J23:J30" si="2">IF(OR(C23="Yes"),SUM(H23-F23),"")</f>
        <v/>
      </c>
    </row>
    <row r="24" spans="1:11" ht="63" hidden="1" customHeight="1" x14ac:dyDescent="0.25">
      <c r="A24" s="253"/>
      <c r="B24" s="64" t="str">
        <f>Questions!B29</f>
        <v>Has there been a change in the system's energy bill?</v>
      </c>
      <c r="C24" s="33"/>
      <c r="D24" s="72"/>
      <c r="E24" s="9" t="str">
        <f>IF(OR(C24="Yes"),Questions!B30,"")</f>
        <v/>
      </c>
      <c r="F24" s="91" t="str">
        <f>IF(OR(C24="Yes"),'2019 Data'!D20,"")</f>
        <v/>
      </c>
      <c r="G24" s="9" t="str">
        <f>IF(OR(C24="Yes"),Questions!B31,"")</f>
        <v/>
      </c>
      <c r="H24" s="87"/>
      <c r="I24" s="36" t="str">
        <f>IF(OR(C24="Yes"),Questions!B32,"")</f>
        <v/>
      </c>
      <c r="J24" s="50" t="str">
        <f t="shared" si="2"/>
        <v/>
      </c>
    </row>
    <row r="25" spans="1:11" ht="63" hidden="1" customHeight="1" x14ac:dyDescent="0.25">
      <c r="A25" s="253"/>
      <c r="B25" s="60" t="str">
        <f>Questions!B33</f>
        <v>Has there been a change in the system's other utility services?</v>
      </c>
      <c r="C25" s="33"/>
      <c r="D25" s="72"/>
      <c r="E25" s="7" t="str">
        <f>IF(OR(C25="Yes"),Questions!B34,"")</f>
        <v/>
      </c>
      <c r="F25" s="90" t="str">
        <f>IF(OR(C25="Yes"),'2019 Data'!D21,"")</f>
        <v/>
      </c>
      <c r="G25" s="6" t="str">
        <f>IF(OR(C25="Yes"),Questions!B35,"")</f>
        <v/>
      </c>
      <c r="H25" s="87"/>
      <c r="I25" s="34" t="str">
        <f>IF(OR(C25="Yes"),Questions!B36,"")</f>
        <v/>
      </c>
      <c r="J25" s="47" t="str">
        <f t="shared" si="2"/>
        <v/>
      </c>
    </row>
    <row r="26" spans="1:11" ht="63" hidden="1" customHeight="1" x14ac:dyDescent="0.25">
      <c r="A26" s="253"/>
      <c r="B26" s="64" t="str">
        <f>Questions!B37</f>
        <v>Has there been a change in use of supplies (supply chains)?</v>
      </c>
      <c r="C26" s="33"/>
      <c r="D26" s="72"/>
      <c r="E26" s="9" t="str">
        <f>IF(OR(C26="Yes"),Questions!B38,"")</f>
        <v/>
      </c>
      <c r="F26" s="91" t="str">
        <f>IF(OR(C26="Yes"),'2019 Data'!D22,"")</f>
        <v/>
      </c>
      <c r="G26" s="9" t="str">
        <f>IF(OR(C26="Yes"),Questions!B39,"")</f>
        <v/>
      </c>
      <c r="H26" s="87"/>
      <c r="I26" s="36" t="str">
        <f>IF(OR(C26="Yes"),Questions!B40,"")</f>
        <v/>
      </c>
      <c r="J26" s="50" t="str">
        <f t="shared" si="2"/>
        <v/>
      </c>
    </row>
    <row r="27" spans="1:11" ht="63" hidden="1" customHeight="1" x14ac:dyDescent="0.25">
      <c r="A27" s="253"/>
      <c r="B27" s="60" t="str">
        <f>Questions!B41</f>
        <v>Has there been a change in supplying uniforms/attire?</v>
      </c>
      <c r="C27" s="33"/>
      <c r="D27" s="72"/>
      <c r="E27" s="6" t="str">
        <f>IF(OR(C27="Yes"),Questions!B42,"")</f>
        <v/>
      </c>
      <c r="F27" s="89" t="str">
        <f>IF(OR(C27="Yes"),'2019 Data'!D23,"")</f>
        <v/>
      </c>
      <c r="G27" s="6" t="str">
        <f>IF(OR(C27="Yes"),Questions!B43,"")</f>
        <v/>
      </c>
      <c r="H27" s="87"/>
      <c r="I27" s="34" t="str">
        <f>IF(OR(C27="Yes"),Questions!B44,"")</f>
        <v/>
      </c>
      <c r="J27" s="47" t="str">
        <f t="shared" si="2"/>
        <v/>
      </c>
    </row>
    <row r="28" spans="1:11" ht="63" hidden="1" customHeight="1" x14ac:dyDescent="0.25">
      <c r="A28" s="253"/>
      <c r="B28" s="64" t="str">
        <f>Questions!B45</f>
        <v>Has there been a change in supplying Personal Protection Equipment (PPE) or other materials, such as cloth masks?</v>
      </c>
      <c r="C28" s="33"/>
      <c r="D28" s="72"/>
      <c r="E28" s="9" t="str">
        <f>IF(OR(C28="Yes"),Questions!B46,"")</f>
        <v/>
      </c>
      <c r="F28" s="91" t="str">
        <f>IF(OR(C28="Yes"),'2019 Data'!D24,"")</f>
        <v/>
      </c>
      <c r="G28" s="9" t="str">
        <f>IF(OR(C28="Yes"),Questions!B47,"")</f>
        <v/>
      </c>
      <c r="H28" s="87"/>
      <c r="I28" s="36" t="str">
        <f>IF(OR(C28="Yes"),Questions!B48,"")</f>
        <v/>
      </c>
      <c r="J28" s="50" t="str">
        <f t="shared" si="2"/>
        <v/>
      </c>
    </row>
    <row r="29" spans="1:11" ht="63" hidden="1" customHeight="1" x14ac:dyDescent="0.25">
      <c r="A29" s="253"/>
      <c r="B29" s="60" t="str">
        <f>Questions!B49</f>
        <v>Do you expect a change in the system's interest expenses?</v>
      </c>
      <c r="C29" s="33"/>
      <c r="D29" s="72"/>
      <c r="E29" s="2" t="str">
        <f>IF(OR(C29="Yes"),Questions!B50,"")</f>
        <v/>
      </c>
      <c r="F29" s="89" t="str">
        <f>IF(OR(C29="Yes"),'2019 Data'!D25,"")</f>
        <v/>
      </c>
      <c r="G29" s="2" t="str">
        <f>IF(OR(C29="Yes"),Questions!B51,"")</f>
        <v/>
      </c>
      <c r="H29" s="87"/>
      <c r="I29" s="34" t="str">
        <f>IF(OR(C29="Yes"),Questions!B52,"")</f>
        <v/>
      </c>
      <c r="J29" s="47" t="str">
        <f t="shared" si="2"/>
        <v/>
      </c>
    </row>
    <row r="30" spans="1:11" ht="63" hidden="1" customHeight="1" x14ac:dyDescent="0.25">
      <c r="A30" s="253"/>
      <c r="B30" s="247" t="str">
        <f>Questions!B53</f>
        <v>Have you incurred new expenses as a result of COVID-19?</v>
      </c>
      <c r="C30" s="239"/>
      <c r="D30" s="75"/>
      <c r="E30" s="255" t="str">
        <f>IF(OR(C30="Yes"),Questions!B54,"")</f>
        <v/>
      </c>
      <c r="F30" s="255"/>
      <c r="G30" s="256"/>
      <c r="H30" s="87"/>
      <c r="I30" s="36"/>
      <c r="J30" s="50" t="str">
        <f t="shared" si="2"/>
        <v/>
      </c>
      <c r="K30" s="44"/>
    </row>
    <row r="31" spans="1:11" ht="63" hidden="1" customHeight="1" x14ac:dyDescent="0.25">
      <c r="A31" s="253"/>
      <c r="B31" s="248"/>
      <c r="C31" s="240"/>
      <c r="D31" s="74"/>
      <c r="E31" s="255" t="str">
        <f>IF(OR(C30="Yes"),Questions!B57,"")</f>
        <v/>
      </c>
      <c r="F31" s="255"/>
      <c r="G31" s="256"/>
      <c r="H31" s="87"/>
      <c r="I31" s="36" t="str">
        <f>IF(OR(C31="Yes"),Questions!B51,"")</f>
        <v/>
      </c>
      <c r="J31" s="50" t="str">
        <f>IF(OR(C30="Yes"),SUM(H30-F30),"")</f>
        <v/>
      </c>
      <c r="K31" s="44"/>
    </row>
    <row r="32" spans="1:11" ht="63" hidden="1" customHeight="1" x14ac:dyDescent="0.25">
      <c r="A32" s="253"/>
      <c r="B32" s="62" t="str">
        <f>Questions!B58</f>
        <v>Do you have additional expenses that have not been identified?</v>
      </c>
      <c r="C32" s="33"/>
      <c r="D32" s="72"/>
      <c r="E32" s="10" t="str">
        <f>IF(OR(C32="Yes"),Questions!B59,"")</f>
        <v/>
      </c>
      <c r="F32" s="89" t="str">
        <f>IF(OR(C32="Yes"),'2019 Data'!D26,"")</f>
        <v/>
      </c>
      <c r="G32" s="10" t="str">
        <f>IF(OR(C32="Yes"),Questions!B60,"")</f>
        <v/>
      </c>
      <c r="H32" s="87"/>
      <c r="I32" s="34" t="str">
        <f>IF(OR(C32="Yes"),Questions!B61,"")</f>
        <v/>
      </c>
      <c r="J32" s="47" t="str">
        <f>IF(OR(C32="Yes"),SUM(H32-F32),"")</f>
        <v/>
      </c>
    </row>
    <row r="33" spans="1:11" ht="63" hidden="1" customHeight="1" x14ac:dyDescent="0.25">
      <c r="A33" s="254"/>
      <c r="B33" s="63"/>
      <c r="C33" s="9"/>
      <c r="D33" s="80"/>
      <c r="E33" s="12" t="s">
        <v>2</v>
      </c>
      <c r="F33" s="51">
        <f>SUM(F17:F32)</f>
        <v>0</v>
      </c>
      <c r="G33" s="12" t="s">
        <v>78</v>
      </c>
      <c r="H33" s="51">
        <f>SUM(H17:H32)</f>
        <v>0</v>
      </c>
      <c r="I33" s="26" t="s">
        <v>103</v>
      </c>
      <c r="J33" s="51">
        <f>SUM(J17:J32)</f>
        <v>0</v>
      </c>
    </row>
    <row r="34" spans="1:11" ht="63" customHeight="1" x14ac:dyDescent="0.25">
      <c r="A34" s="43" t="s">
        <v>18</v>
      </c>
      <c r="B34" s="59"/>
      <c r="C34" s="2"/>
      <c r="D34" s="82"/>
      <c r="E34" s="13" t="s">
        <v>3</v>
      </c>
      <c r="F34" s="49">
        <f>F14-F33</f>
        <v>0</v>
      </c>
      <c r="G34" s="14" t="s">
        <v>77</v>
      </c>
      <c r="H34" s="49">
        <f>H14-H33</f>
        <v>0</v>
      </c>
      <c r="I34" s="27" t="s">
        <v>4</v>
      </c>
      <c r="J34" s="49">
        <f>J14-J33</f>
        <v>0</v>
      </c>
    </row>
    <row r="35" spans="1:11" ht="75.75" customHeight="1" x14ac:dyDescent="0.25">
      <c r="A35" s="233" t="s">
        <v>13</v>
      </c>
      <c r="B35" s="81" t="str">
        <f>Questions!C2</f>
        <v>Has there been, or do you expect, a change in Accounts receivable?</v>
      </c>
      <c r="C35" s="33"/>
      <c r="D35" s="72"/>
      <c r="E35" s="113" t="str">
        <f>IF(OR(C35="Yes"),Questions!C13,"")</f>
        <v/>
      </c>
      <c r="F35" s="112" t="str">
        <f>IF(OR(C35="Yes"),'2019 Data'!D28,"")</f>
        <v/>
      </c>
      <c r="G35" s="111" t="str">
        <f>IF(OR(C35="Yes"),Questions!C14,"")</f>
        <v/>
      </c>
      <c r="H35" s="92"/>
      <c r="I35" s="38" t="str">
        <f>IF(OR(C35="Yes"),Questions!C28,"")</f>
        <v/>
      </c>
      <c r="J35" s="52" t="str">
        <f>IF(OR(C35="Yes"),SUM(F35-H35),"")</f>
        <v/>
      </c>
      <c r="K35" s="17"/>
    </row>
    <row r="36" spans="1:11" ht="75.75" customHeight="1" x14ac:dyDescent="0.25">
      <c r="A36" s="234"/>
      <c r="B36" s="96" t="str">
        <f>Questions!C3</f>
        <v>Has there been, or do you expect, a change in Accounts payable?</v>
      </c>
      <c r="C36" s="33"/>
      <c r="D36" s="72"/>
      <c r="E36" s="83" t="str">
        <f>IF(OR(C36="Yes"),Questions!C13,"")</f>
        <v/>
      </c>
      <c r="F36" s="93" t="str">
        <f>IF(OR(C36="Yes"),'2019 Data'!D29,"")</f>
        <v/>
      </c>
      <c r="G36" s="31" t="str">
        <f>IF(OR(C36="Yes"),Questions!C14,"")</f>
        <v/>
      </c>
      <c r="H36" s="92"/>
      <c r="I36" s="34" t="str">
        <f>IF(OR(C36="Yes"),Questions!C28,"")</f>
        <v/>
      </c>
      <c r="J36" s="47" t="str">
        <f>IF(OR(C36="Yes"),SUM(H36-F36),"")</f>
        <v/>
      </c>
    </row>
    <row r="37" spans="1:11" ht="75.75" customHeight="1" x14ac:dyDescent="0.25">
      <c r="A37" s="234"/>
      <c r="B37" s="81" t="str">
        <f>Questions!C4</f>
        <v>Will you delay pension fund contributions?</v>
      </c>
      <c r="C37" s="33"/>
      <c r="D37" s="72"/>
      <c r="E37" s="109" t="str">
        <f>IF(OR(C37="Yes"),Questions!C13,"")</f>
        <v/>
      </c>
      <c r="F37" s="110" t="str">
        <f>IF(OR(C37="Yes"),'2019 Data'!D30,"")</f>
        <v/>
      </c>
      <c r="G37" s="111" t="str">
        <f>IF(OR(C37="Yes"),Questions!C14,"")</f>
        <v/>
      </c>
      <c r="H37" s="92"/>
      <c r="I37" s="38" t="str">
        <f>IF(OR(C37="Yes"),Questions!C28,"")</f>
        <v/>
      </c>
      <c r="J37" s="52" t="str">
        <f>IF(OR(C37="Yes"),SUM(F37-H37),"")</f>
        <v/>
      </c>
      <c r="K37" s="44"/>
    </row>
    <row r="38" spans="1:11" ht="75.75" customHeight="1" x14ac:dyDescent="0.25">
      <c r="A38" s="234"/>
      <c r="B38" s="237" t="str">
        <f>Questions!C5</f>
        <v>Are there inter-agency funds transfers that have occurred, or that will occur?</v>
      </c>
      <c r="C38" s="239"/>
      <c r="D38" s="75"/>
      <c r="E38" s="83" t="str">
        <f>IF(OR(C38="Yes"),Questions!C15,"")</f>
        <v/>
      </c>
      <c r="F38" s="93" t="str">
        <f>IF(OR(C38="Yes"),'2019 Data'!D31,"")</f>
        <v/>
      </c>
      <c r="G38" s="31" t="str">
        <f>IF(OR(C38="Yes"),Questions!C16,"")</f>
        <v/>
      </c>
      <c r="H38" s="92"/>
      <c r="I38" s="34" t="str">
        <f>IF(OR(C38="Yes"),Questions!C28,"")</f>
        <v/>
      </c>
      <c r="J38" s="47" t="str">
        <f>IF(OR(C38="Yes"),SUM(F38-H38),"")</f>
        <v/>
      </c>
      <c r="K38" s="44"/>
    </row>
    <row r="39" spans="1:11" ht="75.75" customHeight="1" x14ac:dyDescent="0.25">
      <c r="A39" s="234"/>
      <c r="B39" s="238"/>
      <c r="C39" s="240"/>
      <c r="D39" s="74"/>
      <c r="E39" s="83" t="str">
        <f>IF(OR(C38="Yes"),Questions!C17,"")</f>
        <v/>
      </c>
      <c r="F39" s="93" t="str">
        <f>IF(OR(C38="Yes"),'2019 Data'!D32,"")</f>
        <v/>
      </c>
      <c r="G39" s="31" t="str">
        <f>IF(OR(C38="Yes"),Questions!C18,"")</f>
        <v/>
      </c>
      <c r="H39" s="92"/>
      <c r="I39" s="34" t="str">
        <f>IF(OR(C38="Yes"),Questions!C28,"")</f>
        <v/>
      </c>
      <c r="J39" s="47" t="str">
        <f>IF(OR(C38="Yes"),SUM(H39-F39),"")</f>
        <v/>
      </c>
      <c r="K39" s="44"/>
    </row>
    <row r="40" spans="1:11" ht="75.75" customHeight="1" x14ac:dyDescent="0.25">
      <c r="A40" s="234"/>
      <c r="B40" s="106" t="str">
        <f>Questions!C6</f>
        <v>Has there been, or do you expect, a change in the system's rate structure such as a delay in implementing a rate increase or temporary rate reductions?</v>
      </c>
      <c r="C40" s="33"/>
      <c r="D40" s="72"/>
      <c r="E40" s="58" t="str">
        <f>IF(OR(C40="Yes"),Questions!C19,"")</f>
        <v/>
      </c>
      <c r="F40" s="94" t="str">
        <f>IF(OR(C40="Yes"),'2019 Data'!D33,"")</f>
        <v/>
      </c>
      <c r="G40" s="37" t="str">
        <f>IF(OR(C40="Yes"),Questions!C20,"")</f>
        <v/>
      </c>
      <c r="H40" s="92"/>
      <c r="I40" s="38" t="str">
        <f>IF(OR(C40="Yes"),Questions!C28,"")</f>
        <v/>
      </c>
      <c r="J40" s="52" t="str">
        <f>IF(OR(C40="Yes"),SUM(H40-F40),"")</f>
        <v/>
      </c>
    </row>
    <row r="41" spans="1:11" ht="75.75" customHeight="1" x14ac:dyDescent="0.25">
      <c r="A41" s="234"/>
      <c r="B41" s="105" t="str">
        <f>Questions!C7</f>
        <v>Do you have a rate stabilization fund?</v>
      </c>
      <c r="C41" s="33"/>
      <c r="D41" s="72"/>
      <c r="E41" s="83" t="str">
        <f>IF(OR(C41="Yes"),Questions!C21,"")</f>
        <v/>
      </c>
      <c r="F41" s="93" t="str">
        <f>IF(OR(C41="Yes"),'2019 Data'!D34,"")</f>
        <v/>
      </c>
      <c r="G41" s="31" t="str">
        <f>IF(OR(C41="Yes"),Questions!C22,"")</f>
        <v/>
      </c>
      <c r="H41" s="92"/>
      <c r="I41" s="34" t="str">
        <f>IF(OR(C41="Yes"),Questions!C28,"")</f>
        <v/>
      </c>
      <c r="J41" s="47" t="str">
        <f>IF(OR(C41="Yes"),SUM(H41-F41),"")</f>
        <v/>
      </c>
    </row>
    <row r="42" spans="1:11" ht="75.75" customHeight="1" x14ac:dyDescent="0.25">
      <c r="A42" s="234"/>
      <c r="B42" s="106" t="str">
        <f>Questions!C8</f>
        <v>Has there been, or do you expect, a change in budgeted capital expenditures?</v>
      </c>
      <c r="C42" s="33"/>
      <c r="D42" s="72"/>
      <c r="E42" s="109" t="str">
        <f>IF(OR(C42="Yes"),Questions!C23,"")</f>
        <v/>
      </c>
      <c r="F42" s="110" t="str">
        <f>IF(OR(C42="Yes"),'2019 Data'!D35,"")</f>
        <v/>
      </c>
      <c r="G42" s="37" t="str">
        <f>IF(OR(C42="Yes"),Questions!C24,"")</f>
        <v/>
      </c>
      <c r="H42" s="92"/>
      <c r="I42" s="38" t="str">
        <f>IF(OR(C42="Yes"),Questions!C28,"")</f>
        <v/>
      </c>
      <c r="J42" s="52" t="str">
        <f>IF(OR(C42="Yes"),SUM(F42-H42),"")</f>
        <v/>
      </c>
      <c r="K42" s="44"/>
    </row>
    <row r="43" spans="1:11" ht="75.75" customHeight="1" x14ac:dyDescent="0.25">
      <c r="A43" s="234"/>
      <c r="B43" s="105" t="str">
        <f>Questions!C9</f>
        <v>Are there, or do you expect, a change in expenditures due to delayed construction projects?</v>
      </c>
      <c r="C43" s="33"/>
      <c r="D43" s="72"/>
      <c r="E43" s="231" t="str">
        <f>IF(OR(C43="Yes"),Questions!C25,"")</f>
        <v/>
      </c>
      <c r="F43" s="231"/>
      <c r="G43" s="232"/>
      <c r="H43" s="92"/>
      <c r="I43" s="34" t="str">
        <f>IF(OR(C43="Yes"),Questions!C28,"")</f>
        <v/>
      </c>
      <c r="J43" s="47" t="str">
        <f>IF(OR(C43="Yes"),H43,"")</f>
        <v/>
      </c>
      <c r="K43" s="44"/>
    </row>
    <row r="44" spans="1:11" ht="75.75" customHeight="1" x14ac:dyDescent="0.25">
      <c r="A44" s="234"/>
      <c r="B44" s="106" t="str">
        <f>Questions!C10</f>
        <v>Will you attempt to restructure existing debt?</v>
      </c>
      <c r="C44" s="33"/>
      <c r="D44" s="72"/>
      <c r="E44" s="229" t="str">
        <f>IF(OR(C44="Yes"),Questions!C25,"")</f>
        <v/>
      </c>
      <c r="F44" s="229"/>
      <c r="G44" s="230"/>
      <c r="H44" s="92"/>
      <c r="I44" s="38" t="str">
        <f>IF(OR(C44="Yes"),Questions!C28,"")</f>
        <v/>
      </c>
      <c r="J44" s="52" t="str">
        <f>IF(OR(C44="Yes"),H44,"")</f>
        <v/>
      </c>
      <c r="K44" s="44"/>
    </row>
    <row r="45" spans="1:11" ht="75.75" customHeight="1" x14ac:dyDescent="0.25">
      <c r="A45" s="234"/>
      <c r="B45" s="105" t="str">
        <f>Questions!C11</f>
        <v>Will you incur new debt?</v>
      </c>
      <c r="C45" s="33"/>
      <c r="D45" s="72"/>
      <c r="E45" s="231" t="str">
        <f>IF(OR(C45="Yes"),Questions!C25,"")</f>
        <v/>
      </c>
      <c r="F45" s="231"/>
      <c r="G45" s="232"/>
      <c r="H45" s="92"/>
      <c r="I45" s="114" t="str">
        <f>IF(OR(C45="Yes"),Questions!C28,"")</f>
        <v/>
      </c>
      <c r="J45" s="53" t="str">
        <f>IF(OR(C45="Yes"),H45,"")</f>
        <v/>
      </c>
      <c r="K45" s="44"/>
    </row>
    <row r="46" spans="1:11" ht="75.75" customHeight="1" x14ac:dyDescent="0.25">
      <c r="A46" s="235"/>
      <c r="B46" s="108" t="str">
        <f>Questions!C12</f>
        <v>Do you have available cash on hand?</v>
      </c>
      <c r="C46" s="66"/>
      <c r="D46" s="72"/>
      <c r="E46" s="229" t="str">
        <f>IF(OR(C46="Yes"),Questions!C26,"")</f>
        <v/>
      </c>
      <c r="F46" s="229"/>
      <c r="G46" s="230"/>
      <c r="H46" s="32"/>
      <c r="I46" s="38" t="str">
        <f>IF(OR(C46="Yes"),Questions!C28,"")</f>
        <v/>
      </c>
      <c r="J46" s="52" t="str">
        <f>IF(OR(C46="Yes"),H46,"")</f>
        <v/>
      </c>
      <c r="K46" s="44"/>
    </row>
    <row r="47" spans="1:11" ht="75.75" customHeight="1" x14ac:dyDescent="0.25">
      <c r="A47" s="235"/>
      <c r="B47" s="59" t="s">
        <v>254</v>
      </c>
      <c r="C47" s="33"/>
      <c r="D47" s="72"/>
      <c r="E47" s="231" t="str">
        <f>IF(OR(C47="Yes"),Questions!C27,"")</f>
        <v/>
      </c>
      <c r="F47" s="231"/>
      <c r="G47" s="232"/>
      <c r="H47" s="107"/>
      <c r="I47" s="34" t="str">
        <f>IF(OR(C47="Yes"),Questions!C28,"")</f>
        <v/>
      </c>
      <c r="J47" s="47" t="str">
        <f>IF(OR(C47="Yes"),H47,"")</f>
        <v/>
      </c>
      <c r="K47" s="44"/>
    </row>
    <row r="48" spans="1:11" ht="75.75" customHeight="1" x14ac:dyDescent="0.25">
      <c r="A48" s="236"/>
      <c r="B48" s="61"/>
      <c r="C48" s="85"/>
      <c r="D48" s="58"/>
      <c r="E48" s="84" t="s">
        <v>93</v>
      </c>
      <c r="F48" s="65">
        <f>SUM(F35:F47)</f>
        <v>0</v>
      </c>
      <c r="G48" s="45" t="s">
        <v>98</v>
      </c>
      <c r="H48" s="65">
        <f>SUM(H35:H47)</f>
        <v>0</v>
      </c>
      <c r="I48" s="56" t="s">
        <v>99</v>
      </c>
      <c r="J48" s="57">
        <f>SUM(J35:J47)</f>
        <v>0</v>
      </c>
    </row>
    <row r="49" spans="10:10" x14ac:dyDescent="0.25">
      <c r="J49" s="25"/>
    </row>
  </sheetData>
  <mergeCells count="19">
    <mergeCell ref="C17:C18"/>
    <mergeCell ref="B30:B31"/>
    <mergeCell ref="C30:C31"/>
    <mergeCell ref="A1:J1"/>
    <mergeCell ref="E30:G30"/>
    <mergeCell ref="E31:G31"/>
    <mergeCell ref="A2:A14"/>
    <mergeCell ref="B2:B3"/>
    <mergeCell ref="A15:A33"/>
    <mergeCell ref="B15:B16"/>
    <mergeCell ref="B17:B18"/>
    <mergeCell ref="A35:A48"/>
    <mergeCell ref="B38:B39"/>
    <mergeCell ref="C38:C39"/>
    <mergeCell ref="E44:G44"/>
    <mergeCell ref="E45:G45"/>
    <mergeCell ref="E46:G46"/>
    <mergeCell ref="E43:G43"/>
    <mergeCell ref="E47:G47"/>
  </mergeCells>
  <dataValidations count="1">
    <dataValidation type="list" allowBlank="1" showInputMessage="1" showErrorMessage="1" sqref="C35:C38 C17:C32 C4:C13 C40:C47 F9" xr:uid="{DEC65EE0-5030-480A-B9E2-C3579DA90943}">
      <formula1>"Yes,No"</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8913" r:id="rId4" name="CommandButton1">
          <controlPr defaultSize="0" autoLine="0" r:id="rId5">
            <anchor moveWithCells="1">
              <from>
                <xdr:col>2</xdr:col>
                <xdr:colOff>200025</xdr:colOff>
                <xdr:row>1</xdr:row>
                <xdr:rowOff>95250</xdr:rowOff>
              </from>
              <to>
                <xdr:col>2</xdr:col>
                <xdr:colOff>828675</xdr:colOff>
                <xdr:row>1</xdr:row>
                <xdr:rowOff>666750</xdr:rowOff>
              </to>
            </anchor>
          </controlPr>
        </control>
      </mc:Choice>
      <mc:Fallback>
        <control shapeId="38913" r:id="rId4" name="CommandButton1"/>
      </mc:Fallback>
    </mc:AlternateContent>
    <mc:AlternateContent xmlns:mc="http://schemas.openxmlformats.org/markup-compatibility/2006">
      <mc:Choice Requires="x14">
        <control shapeId="38914" r:id="rId6" name="CommandButton2">
          <controlPr defaultSize="0" autoLine="0" r:id="rId7">
            <anchor moveWithCells="1">
              <from>
                <xdr:col>2</xdr:col>
                <xdr:colOff>200025</xdr:colOff>
                <xdr:row>2</xdr:row>
                <xdr:rowOff>85725</xdr:rowOff>
              </from>
              <to>
                <xdr:col>2</xdr:col>
                <xdr:colOff>809625</xdr:colOff>
                <xdr:row>2</xdr:row>
                <xdr:rowOff>647700</xdr:rowOff>
              </to>
            </anchor>
          </controlPr>
        </control>
      </mc:Choice>
      <mc:Fallback>
        <control shapeId="38914" r:id="rId6" name="CommandButton2"/>
      </mc:Fallback>
    </mc:AlternateContent>
    <mc:AlternateContent xmlns:mc="http://schemas.openxmlformats.org/markup-compatibility/2006">
      <mc:Choice Requires="x14">
        <control shapeId="38915" r:id="rId8" name="CommandButton3">
          <controlPr defaultSize="0" autoLine="0" r:id="rId9">
            <anchor moveWithCells="1">
              <from>
                <xdr:col>2</xdr:col>
                <xdr:colOff>180975</xdr:colOff>
                <xdr:row>14</xdr:row>
                <xdr:rowOff>133350</xdr:rowOff>
              </from>
              <to>
                <xdr:col>2</xdr:col>
                <xdr:colOff>800100</xdr:colOff>
                <xdr:row>14</xdr:row>
                <xdr:rowOff>695325</xdr:rowOff>
              </to>
            </anchor>
          </controlPr>
        </control>
      </mc:Choice>
      <mc:Fallback>
        <control shapeId="38915" r:id="rId8" name="CommandButton3"/>
      </mc:Fallback>
    </mc:AlternateContent>
    <mc:AlternateContent xmlns:mc="http://schemas.openxmlformats.org/markup-compatibility/2006">
      <mc:Choice Requires="x14">
        <control shapeId="38916" r:id="rId10" name="CommandButton4">
          <controlPr defaultSize="0" autoLine="0" r:id="rId11">
            <anchor moveWithCells="1">
              <from>
                <xdr:col>2</xdr:col>
                <xdr:colOff>190500</xdr:colOff>
                <xdr:row>15</xdr:row>
                <xdr:rowOff>114300</xdr:rowOff>
              </from>
              <to>
                <xdr:col>2</xdr:col>
                <xdr:colOff>809625</xdr:colOff>
                <xdr:row>15</xdr:row>
                <xdr:rowOff>666750</xdr:rowOff>
              </to>
            </anchor>
          </controlPr>
        </control>
      </mc:Choice>
      <mc:Fallback>
        <control shapeId="38916" r:id="rId10" name="CommandButton4"/>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C051D-089B-4446-B64E-F4E467F5BEB9}">
  <sheetPr codeName="Sheet2"/>
  <dimension ref="A1:G61"/>
  <sheetViews>
    <sheetView zoomScaleNormal="100" workbookViewId="0">
      <selection activeCell="B14" sqref="B14"/>
    </sheetView>
  </sheetViews>
  <sheetFormatPr defaultColWidth="9.140625" defaultRowHeight="15" x14ac:dyDescent="0.25"/>
  <cols>
    <col min="1" max="1" width="73.42578125" style="1" customWidth="1"/>
    <col min="2" max="2" width="78" style="1" customWidth="1"/>
    <col min="3" max="3" width="61.5703125" style="1" bestFit="1" customWidth="1"/>
    <col min="4" max="4" width="11.5703125" style="1" customWidth="1"/>
    <col min="5" max="5" width="9.140625" style="1"/>
    <col min="6" max="6" width="19.5703125" style="1" customWidth="1"/>
    <col min="7" max="16384" width="9.140625" style="1"/>
  </cols>
  <sheetData>
    <row r="1" spans="1:7" s="20" customFormat="1" ht="15.75" thickBot="1" x14ac:dyDescent="0.3">
      <c r="A1" s="101" t="s">
        <v>1</v>
      </c>
      <c r="B1" s="100" t="s">
        <v>9</v>
      </c>
      <c r="C1" s="99" t="s">
        <v>13</v>
      </c>
      <c r="D1" s="102" t="s">
        <v>24</v>
      </c>
      <c r="E1" s="103" t="s">
        <v>22</v>
      </c>
      <c r="F1" s="104" t="s">
        <v>23</v>
      </c>
    </row>
    <row r="2" spans="1:7" ht="15.75" x14ac:dyDescent="0.25">
      <c r="A2" s="21" t="s">
        <v>88</v>
      </c>
      <c r="B2" s="22" t="s">
        <v>187</v>
      </c>
      <c r="C2" s="1" t="s">
        <v>246</v>
      </c>
      <c r="D2" s="1" t="s">
        <v>111</v>
      </c>
      <c r="E2" s="1" t="s">
        <v>25</v>
      </c>
      <c r="F2" s="1" t="s">
        <v>85</v>
      </c>
      <c r="G2" s="1" t="s">
        <v>189</v>
      </c>
    </row>
    <row r="3" spans="1:7" x14ac:dyDescent="0.25">
      <c r="A3" s="1" t="s">
        <v>123</v>
      </c>
      <c r="B3" s="1" t="s">
        <v>277</v>
      </c>
      <c r="C3" s="1" t="s">
        <v>247</v>
      </c>
      <c r="D3" s="1" t="s">
        <v>112</v>
      </c>
      <c r="E3" s="1" t="s">
        <v>26</v>
      </c>
      <c r="F3" s="1" t="s">
        <v>86</v>
      </c>
      <c r="G3" s="1" t="s">
        <v>190</v>
      </c>
    </row>
    <row r="4" spans="1:7" x14ac:dyDescent="0.25">
      <c r="A4" s="1" t="s">
        <v>124</v>
      </c>
      <c r="B4" s="1" t="s">
        <v>139</v>
      </c>
      <c r="C4" s="1" t="s">
        <v>14</v>
      </c>
      <c r="D4" s="1" t="s">
        <v>113</v>
      </c>
      <c r="E4" s="1" t="s">
        <v>27</v>
      </c>
      <c r="F4" s="1" t="s">
        <v>75</v>
      </c>
    </row>
    <row r="5" spans="1:7" x14ac:dyDescent="0.25">
      <c r="A5" s="1" t="s">
        <v>8</v>
      </c>
      <c r="B5" s="1" t="s">
        <v>10</v>
      </c>
      <c r="C5" s="1" t="s">
        <v>248</v>
      </c>
      <c r="D5" s="1" t="s">
        <v>114</v>
      </c>
      <c r="E5" s="1" t="s">
        <v>28</v>
      </c>
      <c r="F5" s="1" t="s">
        <v>79</v>
      </c>
    </row>
    <row r="6" spans="1:7" ht="15.75" x14ac:dyDescent="0.25">
      <c r="A6" s="21" t="s">
        <v>89</v>
      </c>
      <c r="B6" s="1" t="s">
        <v>140</v>
      </c>
      <c r="C6" s="1" t="s">
        <v>249</v>
      </c>
      <c r="D6" s="1" t="s">
        <v>115</v>
      </c>
      <c r="E6" s="1" t="s">
        <v>29</v>
      </c>
      <c r="F6" s="1" t="s">
        <v>80</v>
      </c>
    </row>
    <row r="7" spans="1:7" x14ac:dyDescent="0.25">
      <c r="A7" s="1" t="s">
        <v>125</v>
      </c>
      <c r="B7" s="1" t="s">
        <v>141</v>
      </c>
      <c r="C7" s="1" t="s">
        <v>15</v>
      </c>
      <c r="D7" s="1" t="s">
        <v>116</v>
      </c>
      <c r="E7" s="1" t="s">
        <v>30</v>
      </c>
      <c r="F7" s="1" t="s">
        <v>81</v>
      </c>
    </row>
    <row r="8" spans="1:7" x14ac:dyDescent="0.25">
      <c r="A8" s="1" t="s">
        <v>126</v>
      </c>
      <c r="B8" s="1" t="s">
        <v>10</v>
      </c>
      <c r="C8" s="1" t="s">
        <v>250</v>
      </c>
      <c r="D8" s="1" t="s">
        <v>117</v>
      </c>
      <c r="E8" s="1" t="s">
        <v>31</v>
      </c>
      <c r="F8" s="1" t="s">
        <v>82</v>
      </c>
    </row>
    <row r="9" spans="1:7" x14ac:dyDescent="0.25">
      <c r="A9" s="1" t="s">
        <v>8</v>
      </c>
      <c r="B9" s="22" t="s">
        <v>76</v>
      </c>
      <c r="C9" s="1" t="s">
        <v>252</v>
      </c>
      <c r="D9" s="1" t="s">
        <v>118</v>
      </c>
      <c r="E9" s="1" t="s">
        <v>32</v>
      </c>
    </row>
    <row r="10" spans="1:7" x14ac:dyDescent="0.25">
      <c r="A10" s="23" t="s">
        <v>21</v>
      </c>
      <c r="B10" s="1" t="s">
        <v>206</v>
      </c>
      <c r="C10" s="1" t="s">
        <v>16</v>
      </c>
      <c r="D10" s="1" t="s">
        <v>119</v>
      </c>
      <c r="E10" s="1" t="s">
        <v>33</v>
      </c>
    </row>
    <row r="11" spans="1:7" x14ac:dyDescent="0.25">
      <c r="A11" s="1" t="s">
        <v>127</v>
      </c>
      <c r="B11" s="1" t="s">
        <v>207</v>
      </c>
      <c r="C11" s="1" t="s">
        <v>17</v>
      </c>
      <c r="D11" s="1" t="s">
        <v>120</v>
      </c>
      <c r="E11" s="1" t="s">
        <v>34</v>
      </c>
    </row>
    <row r="12" spans="1:7" x14ac:dyDescent="0.25">
      <c r="A12" s="1" t="s">
        <v>128</v>
      </c>
      <c r="B12" s="1" t="s">
        <v>10</v>
      </c>
      <c r="C12" s="1" t="s">
        <v>251</v>
      </c>
      <c r="D12" s="1" t="s">
        <v>121</v>
      </c>
      <c r="E12" s="1" t="s">
        <v>35</v>
      </c>
    </row>
    <row r="13" spans="1:7" x14ac:dyDescent="0.25">
      <c r="A13" s="1" t="s">
        <v>8</v>
      </c>
      <c r="B13" s="22" t="s">
        <v>193</v>
      </c>
      <c r="C13" s="1" t="s">
        <v>159</v>
      </c>
      <c r="D13" s="1" t="s">
        <v>122</v>
      </c>
      <c r="E13" s="1" t="s">
        <v>36</v>
      </c>
    </row>
    <row r="14" spans="1:7" ht="15.75" x14ac:dyDescent="0.25">
      <c r="A14" s="21" t="s">
        <v>20</v>
      </c>
      <c r="B14" s="1" t="s">
        <v>208</v>
      </c>
      <c r="C14" s="1" t="s">
        <v>160</v>
      </c>
      <c r="E14" s="1" t="s">
        <v>37</v>
      </c>
    </row>
    <row r="15" spans="1:7" x14ac:dyDescent="0.25">
      <c r="A15" s="1" t="s">
        <v>129</v>
      </c>
      <c r="B15" s="1" t="s">
        <v>209</v>
      </c>
      <c r="C15" s="16" t="s">
        <v>107</v>
      </c>
      <c r="E15" s="1" t="s">
        <v>38</v>
      </c>
    </row>
    <row r="16" spans="1:7" x14ac:dyDescent="0.25">
      <c r="A16" s="1" t="s">
        <v>130</v>
      </c>
      <c r="B16" s="1" t="s">
        <v>10</v>
      </c>
      <c r="C16" s="1" t="s">
        <v>108</v>
      </c>
      <c r="E16" s="1" t="s">
        <v>39</v>
      </c>
    </row>
    <row r="17" spans="1:5" x14ac:dyDescent="0.25">
      <c r="A17" s="1" t="s">
        <v>8</v>
      </c>
      <c r="B17" s="22" t="s">
        <v>237</v>
      </c>
      <c r="C17" s="1" t="s">
        <v>109</v>
      </c>
      <c r="E17" s="1" t="s">
        <v>40</v>
      </c>
    </row>
    <row r="18" spans="1:5" x14ac:dyDescent="0.25">
      <c r="A18" s="23" t="s">
        <v>230</v>
      </c>
      <c r="B18" s="1" t="s">
        <v>142</v>
      </c>
      <c r="C18" s="1" t="s">
        <v>110</v>
      </c>
      <c r="E18" s="1" t="s">
        <v>41</v>
      </c>
    </row>
    <row r="19" spans="1:5" x14ac:dyDescent="0.25">
      <c r="A19" s="1" t="s">
        <v>231</v>
      </c>
      <c r="B19" s="1" t="s">
        <v>143</v>
      </c>
      <c r="C19" s="1" t="s">
        <v>222</v>
      </c>
      <c r="E19" s="1" t="s">
        <v>42</v>
      </c>
    </row>
    <row r="20" spans="1:5" x14ac:dyDescent="0.25">
      <c r="A20" s="1" t="s">
        <v>234</v>
      </c>
      <c r="B20" s="1" t="s">
        <v>10</v>
      </c>
      <c r="C20" s="1" t="s">
        <v>94</v>
      </c>
      <c r="E20" s="1" t="s">
        <v>43</v>
      </c>
    </row>
    <row r="21" spans="1:5" x14ac:dyDescent="0.25">
      <c r="A21" s="1" t="s">
        <v>8</v>
      </c>
      <c r="B21" s="22" t="s">
        <v>238</v>
      </c>
      <c r="C21" s="1" t="s">
        <v>96</v>
      </c>
      <c r="E21" s="1" t="s">
        <v>44</v>
      </c>
    </row>
    <row r="22" spans="1:5" x14ac:dyDescent="0.25">
      <c r="A22" s="23" t="s">
        <v>235</v>
      </c>
      <c r="B22" s="1" t="s">
        <v>239</v>
      </c>
      <c r="C22" s="1" t="s">
        <v>97</v>
      </c>
      <c r="E22" s="1" t="s">
        <v>45</v>
      </c>
    </row>
    <row r="23" spans="1:5" x14ac:dyDescent="0.25">
      <c r="A23" s="1" t="s">
        <v>236</v>
      </c>
      <c r="B23" s="1" t="s">
        <v>240</v>
      </c>
      <c r="C23" s="1" t="s">
        <v>161</v>
      </c>
      <c r="E23" s="1" t="s">
        <v>46</v>
      </c>
    </row>
    <row r="24" spans="1:5" x14ac:dyDescent="0.25">
      <c r="A24" s="1" t="s">
        <v>283</v>
      </c>
      <c r="B24" s="1" t="s">
        <v>7</v>
      </c>
      <c r="C24" s="1" t="s">
        <v>162</v>
      </c>
      <c r="E24" s="1" t="s">
        <v>47</v>
      </c>
    </row>
    <row r="25" spans="1:5" x14ac:dyDescent="0.25">
      <c r="A25" s="1" t="s">
        <v>8</v>
      </c>
      <c r="B25" s="22" t="s">
        <v>90</v>
      </c>
      <c r="C25" s="1" t="s">
        <v>106</v>
      </c>
      <c r="E25" s="1" t="s">
        <v>48</v>
      </c>
    </row>
    <row r="26" spans="1:5" ht="15.75" x14ac:dyDescent="0.25">
      <c r="A26" s="21" t="s">
        <v>5</v>
      </c>
      <c r="B26" s="1" t="s">
        <v>144</v>
      </c>
      <c r="C26" s="1" t="s">
        <v>185</v>
      </c>
      <c r="E26" s="1" t="s">
        <v>49</v>
      </c>
    </row>
    <row r="27" spans="1:5" x14ac:dyDescent="0.25">
      <c r="A27" s="1" t="s">
        <v>131</v>
      </c>
      <c r="B27" s="1" t="s">
        <v>145</v>
      </c>
      <c r="C27" s="1" t="s">
        <v>255</v>
      </c>
      <c r="E27" s="1" t="s">
        <v>50</v>
      </c>
    </row>
    <row r="28" spans="1:5" x14ac:dyDescent="0.25">
      <c r="A28" s="1" t="s">
        <v>132</v>
      </c>
      <c r="B28" s="1" t="s">
        <v>10</v>
      </c>
      <c r="C28" s="1" t="s">
        <v>95</v>
      </c>
      <c r="E28" s="1" t="s">
        <v>51</v>
      </c>
    </row>
    <row r="29" spans="1:5" x14ac:dyDescent="0.25">
      <c r="A29" s="1" t="s">
        <v>8</v>
      </c>
      <c r="B29" s="22" t="s">
        <v>291</v>
      </c>
      <c r="E29" s="1" t="s">
        <v>52</v>
      </c>
    </row>
    <row r="30" spans="1:5" ht="15.75" x14ac:dyDescent="0.25">
      <c r="A30" s="21" t="s">
        <v>186</v>
      </c>
      <c r="B30" s="1" t="s">
        <v>279</v>
      </c>
      <c r="E30" s="1" t="s">
        <v>53</v>
      </c>
    </row>
    <row r="31" spans="1:5" x14ac:dyDescent="0.25">
      <c r="A31" s="1" t="s">
        <v>133</v>
      </c>
      <c r="B31" s="1" t="s">
        <v>280</v>
      </c>
      <c r="E31" s="1" t="s">
        <v>54</v>
      </c>
    </row>
    <row r="32" spans="1:5" x14ac:dyDescent="0.25">
      <c r="A32" s="1" t="s">
        <v>134</v>
      </c>
      <c r="B32" s="1" t="s">
        <v>10</v>
      </c>
      <c r="E32" s="1" t="s">
        <v>55</v>
      </c>
    </row>
    <row r="33" spans="1:5" x14ac:dyDescent="0.25">
      <c r="A33" s="1" t="s">
        <v>8</v>
      </c>
      <c r="B33" s="22" t="s">
        <v>241</v>
      </c>
      <c r="E33" s="1" t="s">
        <v>56</v>
      </c>
    </row>
    <row r="34" spans="1:5" ht="15.75" x14ac:dyDescent="0.25">
      <c r="A34" s="21" t="s">
        <v>19</v>
      </c>
      <c r="B34" s="1" t="s">
        <v>147</v>
      </c>
      <c r="E34" s="1" t="s">
        <v>57</v>
      </c>
    </row>
    <row r="35" spans="1:5" x14ac:dyDescent="0.25">
      <c r="A35" s="1" t="s">
        <v>135</v>
      </c>
      <c r="B35" s="1" t="s">
        <v>146</v>
      </c>
      <c r="E35" s="1" t="s">
        <v>58</v>
      </c>
    </row>
    <row r="36" spans="1:5" x14ac:dyDescent="0.25">
      <c r="A36" s="1" t="s">
        <v>136</v>
      </c>
      <c r="B36" s="1" t="s">
        <v>10</v>
      </c>
      <c r="E36" s="1" t="s">
        <v>59</v>
      </c>
    </row>
    <row r="37" spans="1:5" x14ac:dyDescent="0.25">
      <c r="A37" s="1" t="s">
        <v>8</v>
      </c>
      <c r="B37" s="22" t="s">
        <v>272</v>
      </c>
      <c r="E37" s="1" t="s">
        <v>60</v>
      </c>
    </row>
    <row r="38" spans="1:5" ht="15.75" x14ac:dyDescent="0.25">
      <c r="A38" s="21" t="s">
        <v>6</v>
      </c>
      <c r="B38" s="1" t="s">
        <v>148</v>
      </c>
      <c r="E38" s="1" t="s">
        <v>61</v>
      </c>
    </row>
    <row r="39" spans="1:5" x14ac:dyDescent="0.25">
      <c r="A39" s="1" t="s">
        <v>137</v>
      </c>
      <c r="B39" s="1" t="s">
        <v>149</v>
      </c>
      <c r="E39" s="1" t="s">
        <v>62</v>
      </c>
    </row>
    <row r="40" spans="1:5" x14ac:dyDescent="0.25">
      <c r="A40" s="1" t="s">
        <v>138</v>
      </c>
      <c r="B40" s="1" t="s">
        <v>10</v>
      </c>
      <c r="E40" s="1" t="s">
        <v>63</v>
      </c>
    </row>
    <row r="41" spans="1:5" x14ac:dyDescent="0.25">
      <c r="A41" s="1" t="s">
        <v>8</v>
      </c>
      <c r="B41" s="22" t="s">
        <v>282</v>
      </c>
      <c r="E41" s="1" t="s">
        <v>64</v>
      </c>
    </row>
    <row r="42" spans="1:5" x14ac:dyDescent="0.25">
      <c r="B42" s="1" t="s">
        <v>150</v>
      </c>
      <c r="E42" s="1" t="s">
        <v>65</v>
      </c>
    </row>
    <row r="43" spans="1:5" x14ac:dyDescent="0.25">
      <c r="B43" s="1" t="s">
        <v>151</v>
      </c>
      <c r="E43" s="1" t="s">
        <v>66</v>
      </c>
    </row>
    <row r="44" spans="1:5" x14ac:dyDescent="0.25">
      <c r="B44" s="1" t="s">
        <v>10</v>
      </c>
      <c r="E44" s="1" t="s">
        <v>67</v>
      </c>
    </row>
    <row r="45" spans="1:5" x14ac:dyDescent="0.25">
      <c r="B45" s="22" t="s">
        <v>270</v>
      </c>
      <c r="E45" s="1" t="s">
        <v>68</v>
      </c>
    </row>
    <row r="46" spans="1:5" x14ac:dyDescent="0.25">
      <c r="B46" s="1" t="s">
        <v>152</v>
      </c>
      <c r="E46" s="1" t="s">
        <v>69</v>
      </c>
    </row>
    <row r="47" spans="1:5" x14ac:dyDescent="0.25">
      <c r="B47" s="1" t="s">
        <v>153</v>
      </c>
      <c r="E47" s="1" t="s">
        <v>70</v>
      </c>
    </row>
    <row r="48" spans="1:5" x14ac:dyDescent="0.25">
      <c r="B48" s="1" t="s">
        <v>10</v>
      </c>
      <c r="E48" s="1" t="s">
        <v>71</v>
      </c>
    </row>
    <row r="49" spans="2:5" x14ac:dyDescent="0.25">
      <c r="B49" s="22" t="s">
        <v>242</v>
      </c>
      <c r="E49" s="1" t="s">
        <v>72</v>
      </c>
    </row>
    <row r="50" spans="2:5" x14ac:dyDescent="0.25">
      <c r="B50" s="1" t="s">
        <v>154</v>
      </c>
      <c r="E50" s="1" t="s">
        <v>73</v>
      </c>
    </row>
    <row r="51" spans="2:5" x14ac:dyDescent="0.25">
      <c r="B51" s="1" t="s">
        <v>155</v>
      </c>
      <c r="E51" s="1" t="s">
        <v>74</v>
      </c>
    </row>
    <row r="52" spans="2:5" x14ac:dyDescent="0.25">
      <c r="B52" s="1" t="s">
        <v>10</v>
      </c>
    </row>
    <row r="53" spans="2:5" x14ac:dyDescent="0.25">
      <c r="B53" s="22" t="s">
        <v>91</v>
      </c>
    </row>
    <row r="54" spans="2:5" x14ac:dyDescent="0.25">
      <c r="B54" s="1" t="s">
        <v>243</v>
      </c>
    </row>
    <row r="55" spans="2:5" x14ac:dyDescent="0.25">
      <c r="B55" s="1" t="s">
        <v>156</v>
      </c>
    </row>
    <row r="56" spans="2:5" x14ac:dyDescent="0.25">
      <c r="B56" s="1" t="s">
        <v>10</v>
      </c>
    </row>
    <row r="57" spans="2:5" x14ac:dyDescent="0.25">
      <c r="B57" s="1" t="s">
        <v>244</v>
      </c>
    </row>
    <row r="58" spans="2:5" x14ac:dyDescent="0.25">
      <c r="B58" s="22" t="s">
        <v>12</v>
      </c>
    </row>
    <row r="59" spans="2:5" x14ac:dyDescent="0.25">
      <c r="B59" s="1" t="s">
        <v>157</v>
      </c>
    </row>
    <row r="60" spans="2:5" x14ac:dyDescent="0.25">
      <c r="B60" s="1" t="s">
        <v>158</v>
      </c>
    </row>
    <row r="61" spans="2:5" x14ac:dyDescent="0.25">
      <c r="B61" s="1" t="s">
        <v>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Introduction</vt:lpstr>
      <vt:lpstr>2019 Data</vt:lpstr>
      <vt:lpstr>January</vt:lpstr>
      <vt:lpstr>February</vt:lpstr>
      <vt:lpstr>March</vt:lpstr>
      <vt:lpstr>April</vt:lpstr>
      <vt:lpstr>May</vt:lpstr>
      <vt:lpstr>June</vt:lpstr>
      <vt:lpstr>July</vt:lpstr>
      <vt:lpstr>August</vt:lpstr>
      <vt:lpstr>September</vt:lpstr>
      <vt:lpstr>October</vt:lpstr>
      <vt:lpstr>November</vt:lpstr>
      <vt:lpstr>December</vt:lpstr>
      <vt:lpstr>Questions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Vazquez, Britney</dc:creator>
  <cp:lastModifiedBy>Vazquez, Britney</cp:lastModifiedBy>
  <dcterms:created xsi:type="dcterms:W3CDTF">2020-04-01T14:24:15Z</dcterms:created>
  <dcterms:modified xsi:type="dcterms:W3CDTF">2020-08-04T13:25:15Z</dcterms:modified>
</cp:coreProperties>
</file>